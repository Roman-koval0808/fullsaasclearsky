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ignal Master" sheetId="1" state="visible" r:id="rId1"/>
    <sheet name="Stage Summary" sheetId="2" state="visible" r:id="rId2"/>
    <sheet name="Category Summary" sheetId="3" state="visible" r:id="rId3"/>
    <sheet name="Audit Method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color rgb="FF000000"/>
      <sz val="10"/>
    </font>
    <font>
      <name val="Arial"/>
      <charset val="1"/>
      <family val="0"/>
      <sz val="10"/>
    </font>
    <font>
      <name val="Arial"/>
      <charset val="1"/>
      <family val="0"/>
      <b val="1"/>
      <color rgb="FF2563A8"/>
      <sz val="10"/>
    </font>
    <font>
      <name val="Arial"/>
      <charset val="1"/>
      <family val="0"/>
      <b val="1"/>
      <color rgb="FF1D7A5C"/>
      <sz val="10"/>
    </font>
    <font>
      <name val="Arial"/>
      <charset val="1"/>
      <family val="0"/>
      <b val="1"/>
      <color rgb="FF9A6010"/>
      <sz val="10"/>
    </font>
    <font>
      <name val="Arial"/>
      <charset val="1"/>
      <family val="0"/>
      <b val="1"/>
      <color rgb="FF5B4FBF"/>
      <sz val="10"/>
    </font>
    <font>
      <name val="Arial"/>
      <charset val="1"/>
      <family val="0"/>
      <b val="1"/>
      <color rgb="FF4A4A4A"/>
      <sz val="10"/>
    </font>
    <font>
      <name val="Arial"/>
      <charset val="1"/>
      <family val="0"/>
      <b val="1"/>
      <color rgb="FFFFFFFF"/>
      <sz val="11"/>
    </font>
    <font>
      <name val="Arial"/>
      <charset val="1"/>
      <family val="0"/>
      <b val="1"/>
      <color rgb="FF2563A8"/>
      <sz val="11"/>
    </font>
    <font>
      <name val="Arial"/>
      <charset val="1"/>
      <family val="0"/>
      <sz val="11"/>
    </font>
    <font>
      <name val="Arial"/>
      <charset val="1"/>
      <family val="0"/>
      <b val="1"/>
      <color rgb="FF1D7A5C"/>
      <sz val="11"/>
    </font>
    <font>
      <name val="Arial"/>
      <charset val="1"/>
      <family val="0"/>
      <b val="1"/>
      <color rgb="FF9A6010"/>
      <sz val="11"/>
    </font>
    <font>
      <name val="Arial"/>
      <charset val="1"/>
      <family val="0"/>
      <b val="1"/>
      <color rgb="FF5B4FBF"/>
      <sz val="11"/>
    </font>
    <font>
      <name val="Arial"/>
      <charset val="1"/>
      <family val="0"/>
      <b val="1"/>
      <color rgb="FF4A4A4A"/>
      <sz val="11"/>
    </font>
    <font>
      <name val="Arial"/>
      <charset val="1"/>
      <family val="0"/>
      <b val="1"/>
      <sz val="10"/>
    </font>
    <font>
      <name val="Arial"/>
      <b val="1"/>
      <color rgb="005B4FBF"/>
      <sz val="10"/>
    </font>
  </fonts>
  <fills count="14">
    <fill>
      <patternFill/>
    </fill>
    <fill>
      <patternFill patternType="gray125"/>
    </fill>
    <fill>
      <patternFill patternType="solid">
        <fgColor rgb="FF1A2E4A"/>
        <bgColor rgb="FF003366"/>
      </patternFill>
    </fill>
    <fill>
      <patternFill patternType="solid">
        <fgColor rgb="FFD6E4F5"/>
        <bgColor rgb="FFE5E3F9"/>
      </patternFill>
    </fill>
    <fill>
      <patternFill patternType="solid">
        <fgColor rgb="FFEBF2FA"/>
        <bgColor rgb="FFF0EFFC"/>
      </patternFill>
    </fill>
    <fill>
      <patternFill patternType="solid">
        <fgColor rgb="FFEAF6F0"/>
        <bgColor rgb="FFEBF2FA"/>
      </patternFill>
    </fill>
    <fill>
      <patternFill patternType="solid">
        <fgColor rgb="FFD5EFE6"/>
        <bgColor rgb="FFD6E4F5"/>
      </patternFill>
    </fill>
    <fill>
      <patternFill patternType="solid">
        <fgColor rgb="FFFDF4E3"/>
        <bgColor rgb="FFF5F5F5"/>
      </patternFill>
    </fill>
    <fill>
      <patternFill patternType="solid">
        <fgColor rgb="FFE5E3F9"/>
        <bgColor rgb="FFD6E4F5"/>
      </patternFill>
    </fill>
    <fill>
      <patternFill patternType="solid">
        <fgColor rgb="FFF0EFFC"/>
        <bgColor rgb="FFEBF2FA"/>
      </patternFill>
    </fill>
    <fill>
      <patternFill patternType="solid">
        <fgColor rgb="FFFAE9C8"/>
        <bgColor rgb="FFFDF4E3"/>
      </patternFill>
    </fill>
    <fill>
      <patternFill patternType="solid">
        <fgColor rgb="FFEBEBEB"/>
        <bgColor rgb="FFF0EFFC"/>
      </patternFill>
    </fill>
    <fill>
      <patternFill patternType="solid">
        <fgColor rgb="FFF5F5F5"/>
        <bgColor rgb="FFF0EFFC"/>
      </patternFill>
    </fill>
    <fill>
      <patternFill patternType="solid">
        <fgColor rgb="00E5E3F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8"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5" borderId="1" applyAlignment="1" pivotButton="0" quotePrefix="0" xfId="0">
      <alignment horizontal="left" vertical="top" wrapText="1"/>
    </xf>
    <xf numFmtId="0" fontId="8" fillId="5" borderId="1" applyAlignment="1" pivotButton="0" quotePrefix="0" xfId="0">
      <alignment horizontal="left" vertical="top" wrapText="1"/>
    </xf>
    <xf numFmtId="0" fontId="8"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top" wrapText="1"/>
    </xf>
    <xf numFmtId="0" fontId="8" fillId="6" borderId="1" applyAlignment="1" pivotButton="0" quotePrefix="0" xfId="0">
      <alignment horizontal="left" vertical="top" wrapText="1"/>
    </xf>
    <xf numFmtId="0" fontId="8"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top" wrapText="1"/>
    </xf>
    <xf numFmtId="0" fontId="9" fillId="7" borderId="1" applyAlignment="1" pivotButton="0" quotePrefix="0" xfId="0">
      <alignment horizontal="left" vertical="top" wrapText="1"/>
    </xf>
    <xf numFmtId="0" fontId="8"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8" borderId="1" applyAlignment="1" pivotButton="0" quotePrefix="0" xfId="0">
      <alignment horizontal="left" vertical="top" wrapText="1"/>
    </xf>
    <xf numFmtId="0" fontId="10" fillId="8" borderId="1" applyAlignment="1" pivotButton="0" quotePrefix="0" xfId="0">
      <alignment horizontal="left" vertical="top" wrapText="1"/>
    </xf>
    <xf numFmtId="0" fontId="8"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9" borderId="1" applyAlignment="1" pivotButton="0" quotePrefix="0" xfId="0">
      <alignment horizontal="left" vertical="top" wrapText="1"/>
    </xf>
    <xf numFmtId="0" fontId="10" fillId="9" borderId="1" applyAlignment="1" pivotButton="0" quotePrefix="0" xfId="0">
      <alignment horizontal="left" vertical="top" wrapText="1"/>
    </xf>
    <xf numFmtId="0" fontId="8"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left" vertical="top" wrapText="1"/>
    </xf>
    <xf numFmtId="0" fontId="9" fillId="10" borderId="1" applyAlignment="1" pivotButton="0" quotePrefix="0" xfId="0">
      <alignment horizontal="left" vertical="top" wrapText="1"/>
    </xf>
    <xf numFmtId="0" fontId="8"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6" fillId="11" borderId="1" applyAlignment="1" pivotButton="0" quotePrefix="0" xfId="0">
      <alignment horizontal="left" vertical="top" wrapText="1"/>
    </xf>
    <xf numFmtId="0" fontId="11" fillId="11" borderId="1" applyAlignment="1" pivotButton="0" quotePrefix="0" xfId="0">
      <alignment horizontal="left" vertical="top" wrapText="1"/>
    </xf>
    <xf numFmtId="0" fontId="9"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2" borderId="1" applyAlignment="1" pivotButton="0" quotePrefix="0" xfId="0">
      <alignment horizontal="left" vertical="top" wrapText="1"/>
    </xf>
    <xf numFmtId="0" fontId="11" fillId="12" borderId="1" applyAlignment="1" pivotButton="0" quotePrefix="0" xfId="0">
      <alignment horizontal="left" vertical="top" wrapText="1"/>
    </xf>
    <xf numFmtId="0" fontId="9" fillId="1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3" borderId="1" applyAlignment="1" pivotButton="0" quotePrefix="0" xfId="0">
      <alignment horizontal="center" vertical="center" wrapText="1"/>
    </xf>
    <xf numFmtId="0" fontId="14" fillId="3" borderId="1" applyAlignment="1" pivotButton="0" quotePrefix="0" xfId="0">
      <alignment horizontal="center" vertical="center" wrapText="1"/>
    </xf>
    <xf numFmtId="164" fontId="14" fillId="3" borderId="1" applyAlignment="1" pivotButton="0" quotePrefix="0" xfId="0">
      <alignment horizontal="center" vertical="center" wrapText="1"/>
    </xf>
    <xf numFmtId="0" fontId="14" fillId="3" borderId="1" applyAlignment="1" pivotButton="0" quotePrefix="0" xfId="0">
      <alignment horizontal="left" vertical="center" wrapText="1"/>
    </xf>
    <xf numFmtId="0" fontId="15" fillId="6" borderId="1" applyAlignment="1" pivotButton="0" quotePrefix="0" xfId="0">
      <alignment horizontal="center" vertical="center" wrapText="1"/>
    </xf>
    <xf numFmtId="0" fontId="14" fillId="6" borderId="1" applyAlignment="1" pivotButton="0" quotePrefix="0" xfId="0">
      <alignment horizontal="center" vertical="center" wrapText="1"/>
    </xf>
    <xf numFmtId="164" fontId="14" fillId="6" borderId="1" applyAlignment="1" pivotButton="0" quotePrefix="0" xfId="0">
      <alignment horizontal="center" vertical="center" wrapText="1"/>
    </xf>
    <xf numFmtId="0" fontId="14" fillId="6" borderId="1" applyAlignment="1" pivotButton="0" quotePrefix="0" xfId="0">
      <alignment horizontal="left" vertical="center" wrapText="1"/>
    </xf>
    <xf numFmtId="0" fontId="16" fillId="10" borderId="1" applyAlignment="1" pivotButton="0" quotePrefix="0" xfId="0">
      <alignment horizontal="center" vertical="center" wrapText="1"/>
    </xf>
    <xf numFmtId="0" fontId="14" fillId="10" borderId="1" applyAlignment="1" pivotButton="0" quotePrefix="0" xfId="0">
      <alignment horizontal="center" vertical="center" wrapText="1"/>
    </xf>
    <xf numFmtId="164" fontId="14" fillId="10" borderId="1" applyAlignment="1" pivotButton="0" quotePrefix="0" xfId="0">
      <alignment horizontal="center" vertical="center" wrapText="1"/>
    </xf>
    <xf numFmtId="0" fontId="14" fillId="10" borderId="1" applyAlignment="1" pivotButton="0" quotePrefix="0" xfId="0">
      <alignment horizontal="left" vertical="center" wrapText="1"/>
    </xf>
    <xf numFmtId="0" fontId="17" fillId="8" borderId="1" applyAlignment="1" pivotButton="0" quotePrefix="0" xfId="0">
      <alignment horizontal="center" vertical="center" wrapText="1"/>
    </xf>
    <xf numFmtId="0" fontId="14" fillId="8" borderId="1" applyAlignment="1" pivotButton="0" quotePrefix="0" xfId="0">
      <alignment horizontal="center" vertical="center" wrapText="1"/>
    </xf>
    <xf numFmtId="164" fontId="14" fillId="8" borderId="1" applyAlignment="1" pivotButton="0" quotePrefix="0" xfId="0">
      <alignment horizontal="center" vertical="center" wrapText="1"/>
    </xf>
    <xf numFmtId="0" fontId="14" fillId="8" borderId="1" applyAlignment="1" pivotButton="0" quotePrefix="0" xfId="0">
      <alignment horizontal="left" vertical="center" wrapText="1"/>
    </xf>
    <xf numFmtId="164" fontId="12" fillId="2" borderId="1" applyAlignment="1" pivotButton="0" quotePrefix="0" xfId="0">
      <alignment horizontal="center" vertical="center" wrapText="1"/>
    </xf>
    <xf numFmtId="0" fontId="12" fillId="2" borderId="1" applyAlignment="1" pivotButton="0" quotePrefix="0" xfId="0">
      <alignment horizontal="left" vertical="center" wrapText="1"/>
    </xf>
    <xf numFmtId="0" fontId="18" fillId="11" borderId="0" applyAlignment="1" pivotButton="0" quotePrefix="0" xfId="0">
      <alignment horizontal="general" vertical="bottom"/>
    </xf>
    <xf numFmtId="0" fontId="14" fillId="12" borderId="1" applyAlignment="1" pivotButton="0" quotePrefix="0" xfId="0">
      <alignment horizontal="center" vertical="center" wrapText="1"/>
    </xf>
    <xf numFmtId="0" fontId="14" fillId="12" borderId="1" applyAlignment="1" pivotButton="0" quotePrefix="0" xfId="0">
      <alignment horizontal="left" vertical="center" wrapText="1"/>
    </xf>
    <xf numFmtId="0" fontId="14" fillId="11" borderId="1" applyAlignment="1" pivotButton="0" quotePrefix="0" xfId="0">
      <alignment horizontal="center" vertical="center" wrapText="1"/>
    </xf>
    <xf numFmtId="0" fontId="14" fillId="11" borderId="1" applyAlignment="1" pivotButton="0" quotePrefix="0" xfId="0">
      <alignment horizontal="left" vertical="center" wrapText="1"/>
    </xf>
    <xf numFmtId="0" fontId="19"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19"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19"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6"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19"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19" fillId="11" borderId="1" applyAlignment="1" pivotButton="0" quotePrefix="0" xfId="0">
      <alignment horizontal="center" vertical="center" wrapText="1"/>
    </xf>
    <xf numFmtId="0" fontId="11" fillId="11" borderId="1" applyAlignment="1" pivotButton="0" quotePrefix="0" xfId="0">
      <alignment horizontal="left" vertical="center" wrapText="1"/>
    </xf>
    <xf numFmtId="0" fontId="6"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19" fillId="3" borderId="1" applyAlignment="1" pivotButton="0" quotePrefix="0" xfId="0">
      <alignment horizontal="left" vertical="top" wrapText="1"/>
    </xf>
    <xf numFmtId="0" fontId="19" fillId="6" borderId="1" applyAlignment="1" pivotButton="0" quotePrefix="0" xfId="0">
      <alignment horizontal="left" vertical="top" wrapText="1"/>
    </xf>
    <xf numFmtId="0" fontId="19" fillId="10" borderId="1" applyAlignment="1" pivotButton="0" quotePrefix="0" xfId="0">
      <alignment horizontal="left" vertical="top" wrapText="1"/>
    </xf>
    <xf numFmtId="0" fontId="19" fillId="8" borderId="1" applyAlignment="1" pivotButton="0" quotePrefix="0" xfId="0">
      <alignment horizontal="left" vertical="top" wrapText="1"/>
    </xf>
    <xf numFmtId="0" fontId="19" fillId="11"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8"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5" borderId="1" applyAlignment="1" pivotButton="0" quotePrefix="0" xfId="0">
      <alignment horizontal="left" vertical="top" wrapText="1"/>
    </xf>
    <xf numFmtId="0" fontId="8" fillId="5" borderId="1" applyAlignment="1" pivotButton="0" quotePrefix="0" xfId="0">
      <alignment horizontal="left" vertical="top" wrapText="1"/>
    </xf>
    <xf numFmtId="0" fontId="8"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top" wrapText="1"/>
    </xf>
    <xf numFmtId="0" fontId="8" fillId="6" borderId="1" applyAlignment="1" pivotButton="0" quotePrefix="0" xfId="0">
      <alignment horizontal="left" vertical="top" wrapText="1"/>
    </xf>
    <xf numFmtId="0" fontId="8"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top" wrapText="1"/>
    </xf>
    <xf numFmtId="0" fontId="9" fillId="7" borderId="1" applyAlignment="1" pivotButton="0" quotePrefix="0" xfId="0">
      <alignment horizontal="left" vertical="top" wrapText="1"/>
    </xf>
    <xf numFmtId="0" fontId="8" fillId="7" borderId="1" applyAlignment="1" pivotButton="0" quotePrefix="0" xfId="0">
      <alignment horizontal="center" vertical="center" wrapText="1"/>
    </xf>
    <xf numFmtId="0" fontId="5" fillId="13" borderId="1" applyAlignment="1" pivotButton="0" quotePrefix="0" xfId="0">
      <alignment horizontal="center" vertical="center" wrapText="1"/>
    </xf>
    <xf numFmtId="0" fontId="6" fillId="13" borderId="1" applyAlignment="1" pivotButton="0" quotePrefix="0" xfId="0">
      <alignment horizontal="left" vertical="top" wrapText="1"/>
    </xf>
    <xf numFmtId="0" fontId="20" fillId="13" borderId="1" applyAlignment="1" pivotButton="0" quotePrefix="0" xfId="0">
      <alignment horizontal="left" vertical="top" wrapText="1"/>
    </xf>
    <xf numFmtId="0" fontId="8" fillId="13"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8" borderId="1" applyAlignment="1" pivotButton="0" quotePrefix="0" xfId="0">
      <alignment horizontal="left" vertical="top" wrapText="1"/>
    </xf>
    <xf numFmtId="0" fontId="10" fillId="8" borderId="1" applyAlignment="1" pivotButton="0" quotePrefix="0" xfId="0">
      <alignment horizontal="left" vertical="top" wrapText="1"/>
    </xf>
    <xf numFmtId="0" fontId="8"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9" borderId="1" applyAlignment="1" pivotButton="0" quotePrefix="0" xfId="0">
      <alignment horizontal="left" vertical="top" wrapText="1"/>
    </xf>
    <xf numFmtId="0" fontId="10" fillId="9" borderId="1" applyAlignment="1" pivotButton="0" quotePrefix="0" xfId="0">
      <alignment horizontal="left" vertical="top" wrapText="1"/>
    </xf>
    <xf numFmtId="0" fontId="8"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left" vertical="top" wrapText="1"/>
    </xf>
    <xf numFmtId="0" fontId="9" fillId="10" borderId="1" applyAlignment="1" pivotButton="0" quotePrefix="0" xfId="0">
      <alignment horizontal="left" vertical="top" wrapText="1"/>
    </xf>
    <xf numFmtId="0" fontId="8"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6" fillId="11" borderId="1" applyAlignment="1" pivotButton="0" quotePrefix="0" xfId="0">
      <alignment horizontal="left" vertical="top" wrapText="1"/>
    </xf>
    <xf numFmtId="0" fontId="11" fillId="11" borderId="1" applyAlignment="1" pivotButton="0" quotePrefix="0" xfId="0">
      <alignment horizontal="left" vertical="top" wrapText="1"/>
    </xf>
    <xf numFmtId="0" fontId="9"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2" borderId="1" applyAlignment="1" pivotButton="0" quotePrefix="0" xfId="0">
      <alignment horizontal="left" vertical="top" wrapText="1"/>
    </xf>
    <xf numFmtId="0" fontId="11" fillId="12" borderId="1" applyAlignment="1" pivotButton="0" quotePrefix="0" xfId="0">
      <alignment horizontal="left" vertical="top" wrapText="1"/>
    </xf>
    <xf numFmtId="0" fontId="9" fillId="1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3" borderId="1" applyAlignment="1" pivotButton="0" quotePrefix="0" xfId="0">
      <alignment horizontal="center" vertical="center" wrapText="1"/>
    </xf>
    <xf numFmtId="0" fontId="14" fillId="3" borderId="1" applyAlignment="1" pivotButton="0" quotePrefix="0" xfId="0">
      <alignment horizontal="center" vertical="center" wrapText="1"/>
    </xf>
    <xf numFmtId="164" fontId="14" fillId="3" borderId="1" applyAlignment="1" pivotButton="0" quotePrefix="0" xfId="0">
      <alignment horizontal="center" vertical="center" wrapText="1"/>
    </xf>
    <xf numFmtId="0" fontId="14" fillId="3" borderId="1" applyAlignment="1" pivotButton="0" quotePrefix="0" xfId="0">
      <alignment horizontal="left" vertical="center" wrapText="1"/>
    </xf>
    <xf numFmtId="0" fontId="15" fillId="6" borderId="1" applyAlignment="1" pivotButton="0" quotePrefix="0" xfId="0">
      <alignment horizontal="center" vertical="center" wrapText="1"/>
    </xf>
    <xf numFmtId="0" fontId="14" fillId="6" borderId="1" applyAlignment="1" pivotButton="0" quotePrefix="0" xfId="0">
      <alignment horizontal="center" vertical="center" wrapText="1"/>
    </xf>
    <xf numFmtId="164" fontId="14" fillId="6" borderId="1" applyAlignment="1" pivotButton="0" quotePrefix="0" xfId="0">
      <alignment horizontal="center" vertical="center" wrapText="1"/>
    </xf>
    <xf numFmtId="0" fontId="14" fillId="6" borderId="1" applyAlignment="1" pivotButton="0" quotePrefix="0" xfId="0">
      <alignment horizontal="left" vertical="center" wrapText="1"/>
    </xf>
    <xf numFmtId="0" fontId="16" fillId="10" borderId="1" applyAlignment="1" pivotButton="0" quotePrefix="0" xfId="0">
      <alignment horizontal="center" vertical="center" wrapText="1"/>
    </xf>
    <xf numFmtId="0" fontId="14" fillId="10" borderId="1" applyAlignment="1" pivotButton="0" quotePrefix="0" xfId="0">
      <alignment horizontal="center" vertical="center" wrapText="1"/>
    </xf>
    <xf numFmtId="164" fontId="14" fillId="10" borderId="1" applyAlignment="1" pivotButton="0" quotePrefix="0" xfId="0">
      <alignment horizontal="center" vertical="center" wrapText="1"/>
    </xf>
    <xf numFmtId="0" fontId="14" fillId="10" borderId="1" applyAlignment="1" pivotButton="0" quotePrefix="0" xfId="0">
      <alignment horizontal="left" vertical="center" wrapText="1"/>
    </xf>
    <xf numFmtId="0" fontId="17" fillId="8" borderId="1" applyAlignment="1" pivotButton="0" quotePrefix="0" xfId="0">
      <alignment horizontal="center" vertical="center" wrapText="1"/>
    </xf>
    <xf numFmtId="0" fontId="14" fillId="8" borderId="1" applyAlignment="1" pivotButton="0" quotePrefix="0" xfId="0">
      <alignment horizontal="center" vertical="center" wrapText="1"/>
    </xf>
    <xf numFmtId="164" fontId="14" fillId="8" borderId="1" applyAlignment="1" pivotButton="0" quotePrefix="0" xfId="0">
      <alignment horizontal="center" vertical="center" wrapText="1"/>
    </xf>
    <xf numFmtId="0" fontId="14" fillId="8" borderId="1" applyAlignment="1" pivotButton="0" quotePrefix="0" xfId="0">
      <alignment horizontal="left" vertical="center" wrapText="1"/>
    </xf>
    <xf numFmtId="164" fontId="12" fillId="2" borderId="1" applyAlignment="1" pivotButton="0" quotePrefix="0" xfId="0">
      <alignment horizontal="center" vertical="center" wrapText="1"/>
    </xf>
    <xf numFmtId="0" fontId="12" fillId="2" borderId="1" applyAlignment="1" pivotButton="0" quotePrefix="0" xfId="0">
      <alignment horizontal="left" vertical="center" wrapText="1"/>
    </xf>
    <xf numFmtId="0" fontId="18" fillId="11" borderId="0" applyAlignment="1" pivotButton="0" quotePrefix="0" xfId="0">
      <alignment horizontal="general" vertical="bottom"/>
    </xf>
    <xf numFmtId="0" fontId="14" fillId="12" borderId="1" applyAlignment="1" pivotButton="0" quotePrefix="0" xfId="0">
      <alignment horizontal="center" vertical="center" wrapText="1"/>
    </xf>
    <xf numFmtId="0" fontId="14" fillId="12" borderId="1" applyAlignment="1" pivotButton="0" quotePrefix="0" xfId="0">
      <alignment horizontal="left" vertical="center" wrapText="1"/>
    </xf>
    <xf numFmtId="0" fontId="14" fillId="11" borderId="1" applyAlignment="1" pivotButton="0" quotePrefix="0" xfId="0">
      <alignment horizontal="center" vertical="center" wrapText="1"/>
    </xf>
    <xf numFmtId="0" fontId="14" fillId="11" borderId="1" applyAlignment="1" pivotButton="0" quotePrefix="0" xfId="0">
      <alignment horizontal="left" vertical="center" wrapText="1"/>
    </xf>
    <xf numFmtId="0" fontId="19"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19"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19"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6"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19"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19" fillId="11" borderId="1" applyAlignment="1" pivotButton="0" quotePrefix="0" xfId="0">
      <alignment horizontal="center" vertical="center" wrapText="1"/>
    </xf>
    <xf numFmtId="0" fontId="11" fillId="11" borderId="1" applyAlignment="1" pivotButton="0" quotePrefix="0" xfId="0">
      <alignment horizontal="left" vertical="center" wrapText="1"/>
    </xf>
    <xf numFmtId="0" fontId="6"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19" fillId="3" borderId="1" applyAlignment="1" pivotButton="0" quotePrefix="0" xfId="0">
      <alignment horizontal="left" vertical="top" wrapText="1"/>
    </xf>
    <xf numFmtId="0" fontId="19" fillId="6" borderId="1" applyAlignment="1" pivotButton="0" quotePrefix="0" xfId="0">
      <alignment horizontal="left" vertical="top" wrapText="1"/>
    </xf>
    <xf numFmtId="0" fontId="19" fillId="10" borderId="1" applyAlignment="1" pivotButton="0" quotePrefix="0" xfId="0">
      <alignment horizontal="left" vertical="top" wrapText="1"/>
    </xf>
    <xf numFmtId="0" fontId="19" fillId="8" borderId="1" applyAlignment="1" pivotButton="0" quotePrefix="0" xfId="0">
      <alignment horizontal="left" vertical="top" wrapText="1"/>
    </xf>
    <xf numFmtId="0" fontId="19" fillId="11"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9A6010"/>
      <rgbColor rgb="FF800080"/>
      <rgbColor rgb="FF1D7A5C"/>
      <rgbColor rgb="FFCCCCCC"/>
      <rgbColor rgb="FF808080"/>
      <rgbColor rgb="FF9999FF"/>
      <rgbColor rgb="FF993366"/>
      <rgbColor rgb="FFFDF4E3"/>
      <rgbColor rgb="FFD5EFE6"/>
      <rgbColor rgb="FF660066"/>
      <rgbColor rgb="FFFF8080"/>
      <rgbColor rgb="FF2563A8"/>
      <rgbColor rgb="FFD6E4F5"/>
      <rgbColor rgb="FF000080"/>
      <rgbColor rgb="FFFF00FF"/>
      <rgbColor rgb="FFFFFF00"/>
      <rgbColor rgb="FF00FFFF"/>
      <rgbColor rgb="FF800080"/>
      <rgbColor rgb="FF800000"/>
      <rgbColor rgb="FF008080"/>
      <rgbColor rgb="FF0000FF"/>
      <rgbColor rgb="FF00CCFF"/>
      <rgbColor rgb="FFEAF6F0"/>
      <rgbColor rgb="FFEBF2FA"/>
      <rgbColor rgb="FFFAE9C8"/>
      <rgbColor rgb="FFE5E3F9"/>
      <rgbColor rgb="FFF0EFFC"/>
      <rgbColor rgb="FFF5F5F5"/>
      <rgbColor rgb="FFEBEBEB"/>
      <rgbColor rgb="FF3366FF"/>
      <rgbColor rgb="FF33CCCC"/>
      <rgbColor rgb="FF99CC00"/>
      <rgbColor rgb="FFFFCC00"/>
      <rgbColor rgb="FFFF9900"/>
      <rgbColor rgb="FFFF6600"/>
      <rgbColor rgb="FF5B4FBF"/>
      <rgbColor rgb="FF969696"/>
      <rgbColor rgb="FF003366"/>
      <rgbColor rgb="FF339966"/>
      <rgbColor rgb="FF003300"/>
      <rgbColor rgb="FF4A4A4A"/>
      <rgbColor rgb="FF993300"/>
      <rgbColor rgb="FF993366"/>
      <rgbColor rgb="FF333399"/>
      <rgbColor rgb="FF1A2E4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73"/>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91" min="1" max="1"/>
    <col width="32" customWidth="1" style="91" min="2" max="2"/>
    <col width="26" customWidth="1" style="91" min="3" max="3"/>
    <col width="8" customWidth="1" style="91" min="4" max="4"/>
    <col width="14" customWidth="1" style="91" min="5" max="5"/>
    <col width="28" customWidth="1" style="91" min="6" max="6"/>
    <col width="34" customWidth="1" style="91" min="7" max="7"/>
    <col width="16" customWidth="1" style="91" min="8" max="8"/>
    <col width="42" customWidth="1" style="91" min="9" max="12"/>
    <col width="52" customWidth="1" style="91" min="13" max="14"/>
    <col width="40" customWidth="1" style="91" min="15" max="15"/>
  </cols>
  <sheetData>
    <row r="1" ht="30" customHeight="1" s="92">
      <c r="A1" s="93" t="inlineStr">
        <is>
          <t>Signal #</t>
        </is>
      </c>
      <c r="B1" s="93" t="inlineStr">
        <is>
          <t>Signal Name</t>
        </is>
      </c>
      <c r="C1" s="93" t="inlineStr">
        <is>
          <t>Category</t>
        </is>
      </c>
      <c r="D1" s="93" t="inlineStr">
        <is>
          <t>Cat #</t>
        </is>
      </c>
      <c r="E1" s="93" t="inlineStr">
        <is>
          <t>Stage</t>
        </is>
      </c>
      <c r="F1" s="93" t="inlineStr">
        <is>
          <t>Intent Buckets</t>
        </is>
      </c>
      <c r="G1" s="93" t="inlineStr">
        <is>
          <t>Data Source</t>
        </is>
      </c>
      <c r="H1" s="93" t="inlineStr">
        <is>
          <t>In Gap Score (60)</t>
        </is>
      </c>
      <c r="I1" s="93" t="inlineStr">
        <is>
          <t>Score 0 — Not Present</t>
        </is>
      </c>
      <c r="J1" s="93" t="inlineStr">
        <is>
          <t>Score 1 — Weak</t>
        </is>
      </c>
      <c r="K1" s="93" t="inlineStr">
        <is>
          <t>Score 2 — Functional</t>
        </is>
      </c>
      <c r="L1" s="93" t="inlineStr">
        <is>
          <t>Score 3 — Best Practice</t>
        </is>
      </c>
      <c r="M1" s="93" t="inlineStr">
        <is>
          <t>Why It Exists</t>
        </is>
      </c>
      <c r="N1" s="93" t="inlineStr">
        <is>
          <t>What It Achieves</t>
        </is>
      </c>
      <c r="O1" s="93" t="inlineStr">
        <is>
          <t>Audit Method</t>
        </is>
      </c>
    </row>
    <row r="2" ht="79.5" customHeight="1" s="92">
      <c r="A2" s="94" t="n">
        <v>1</v>
      </c>
      <c r="B2" s="95" t="inlineStr">
        <is>
          <t>Value Proposition Clarity</t>
        </is>
      </c>
      <c r="C2" s="95" t="inlineStr">
        <is>
          <t>Website</t>
        </is>
      </c>
      <c r="D2" s="95" t="n">
        <v>1</v>
      </c>
      <c r="E2" s="96" t="inlineStr">
        <is>
          <t>Discovery</t>
        </is>
      </c>
      <c r="F2" s="95" t="inlineStr">
        <is>
          <t>Research / Comparison</t>
        </is>
      </c>
      <c r="G2" s="95" t="inlineStr">
        <is>
          <t>Website homepage — NLP</t>
        </is>
      </c>
      <c r="H2" s="97" t="inlineStr">
        <is>
          <t>Yes</t>
        </is>
      </c>
      <c r="I2" s="95" t="inlineStr">
        <is>
          <t>Trade not identifiable within 5 seconds. Generic language only. Location absent.</t>
        </is>
      </c>
      <c r="J2" s="95" t="inlineStr">
        <is>
          <t>Trade visible but requires reading beyond headline. Location present. No differentiation.</t>
        </is>
      </c>
      <c r="K2" s="95" t="inlineStr">
        <is>
          <t>Trade, location, and service type clear above the fold. Some differentiation present but generic.</t>
        </is>
      </c>
      <c r="L2" s="95" t="inlineStr">
        <is>
          <t>Within 5 seconds: trade, area, who they serve, and differentiator. Specific and credible. Emergency availability or years in business in headline area.</t>
        </is>
      </c>
      <c r="M2" s="95" t="inlineStr">
        <is>
          <t>A visitor decides in 5 seconds whether they're in the right place. If it isn't immediately clear, they bounce to the next result.</t>
        </is>
      </c>
      <c r="N2" s="95" t="inlineStr">
        <is>
          <t>Stops the bounce. Confirms relevance instantly. A weak score here undermines every downstream signal.</t>
        </is>
      </c>
      <c r="O2" s="95" t="inlineStr">
        <is>
          <t>Direct fetch → Claude NLP</t>
        </is>
      </c>
    </row>
    <row r="3" ht="79.5" customHeight="1" s="92">
      <c r="A3" s="98" t="n">
        <v>2</v>
      </c>
      <c r="B3" s="99" t="inlineStr">
        <is>
          <t>Brand Promise &amp; Trust Statement</t>
        </is>
      </c>
      <c r="C3" s="99" t="inlineStr">
        <is>
          <t>Website</t>
        </is>
      </c>
      <c r="D3" s="99" t="n">
        <v>1</v>
      </c>
      <c r="E3" s="100" t="inlineStr">
        <is>
          <t>Discovery</t>
        </is>
      </c>
      <c r="F3" s="99" t="inlineStr">
        <is>
          <t>Comparison</t>
        </is>
      </c>
      <c r="G3" s="99" t="inlineStr">
        <is>
          <t>Website homepage + about page — NLP</t>
        </is>
      </c>
      <c r="H3" s="101" t="inlineStr">
        <is>
          <t>Yes</t>
        </is>
      </c>
      <c r="I3" s="99" t="inlineStr">
        <is>
          <t>No articulated promise. Generic taglines only — quality work, great service, call us today.</t>
        </is>
      </c>
      <c r="J3" s="99" t="inlineStr">
        <is>
          <t>Promise exists but vague. Licensed and insured mentioned without specificity.</t>
        </is>
      </c>
      <c r="K3" s="99" t="inlineStr">
        <is>
          <t>Clear trust statement with some specificity — response time or pricing commitment visible.</t>
        </is>
      </c>
      <c r="L3" s="99" t="inlineStr">
        <is>
          <t>Specific, accountable promise — response time guarantee, clean jobsite, no-surprise pricing. A commitment a homeowner can hold you to.</t>
        </is>
      </c>
      <c r="M3" s="99" t="inlineStr">
        <is>
          <t>All contractors say the same thing. A specific, accountable promise is a differentiator competitors can't easily copy.</t>
        </is>
      </c>
      <c r="N3" s="99" t="inlineStr">
        <is>
          <t>Moves the visitor from 'this seems like a plumber' to 'this is the plumber I should call.' Weak here means competing on price by default.</t>
        </is>
      </c>
      <c r="O3" s="99" t="inlineStr">
        <is>
          <t>Direct fetch → Claude NLP</t>
        </is>
      </c>
    </row>
    <row r="4" ht="79.5" customHeight="1" s="92">
      <c r="A4" s="94" t="n">
        <v>3</v>
      </c>
      <c r="B4" s="95" t="inlineStr">
        <is>
          <t>People &amp; Credibility</t>
        </is>
      </c>
      <c r="C4" s="95" t="inlineStr">
        <is>
          <t>Website</t>
        </is>
      </c>
      <c r="D4" s="95" t="n">
        <v>1</v>
      </c>
      <c r="E4" s="96" t="inlineStr">
        <is>
          <t>Discovery</t>
        </is>
      </c>
      <c r="F4" s="95" t="inlineStr">
        <is>
          <t>Comparison / Emergency</t>
        </is>
      </c>
      <c r="G4" s="95" t="inlineStr">
        <is>
          <t>Website homepage + about page — NLP</t>
        </is>
      </c>
      <c r="H4" s="97" t="inlineStr">
        <is>
          <t>Yes</t>
        </is>
      </c>
      <c r="I4" s="95" t="inlineStr">
        <is>
          <t>No team information. No owner story. Business is faceless.</t>
        </is>
      </c>
      <c r="J4" s="95" t="inlineStr">
        <is>
          <t>Owner or team mentioned by name only. No photos. No backstory.</t>
        </is>
      </c>
      <c r="K4" s="95" t="inlineStr">
        <is>
          <t>Owner photo and brief bio present. Team referenced. Local roots mentioned.</t>
        </is>
      </c>
      <c r="L4" s="95" t="inlineStr">
        <is>
          <t>Owner and team introduced with real photos, personal story, local roots, and trade background. Visitor feels they know who is coming to their home.</t>
        </is>
      </c>
      <c r="M4" s="95" t="inlineStr">
        <is>
          <t>A contractor is letting a stranger into someone's home. Before the call is made, the visitor wants to know who is coming through the door.</t>
        </is>
      </c>
      <c r="N4" s="95" t="inlineStr">
        <is>
          <t>Converts a nameless business into a person the homeowner has already 'met.' Reduces friction for the first call — especially critical for Emergency intent.</t>
        </is>
      </c>
      <c r="O4" s="95" t="inlineStr">
        <is>
          <t>Direct fetch → Claude NLP</t>
        </is>
      </c>
    </row>
    <row r="5" ht="79.5" customHeight="1" s="92">
      <c r="A5" s="98" t="n">
        <v>4</v>
      </c>
      <c r="B5" s="99" t="inlineStr">
        <is>
          <t>Process Transparency</t>
        </is>
      </c>
      <c r="C5" s="99" t="inlineStr">
        <is>
          <t>Website</t>
        </is>
      </c>
      <c r="D5" s="99" t="n">
        <v>1</v>
      </c>
      <c r="E5" s="100" t="inlineStr">
        <is>
          <t>Discovery</t>
        </is>
      </c>
      <c r="F5" s="99" t="inlineStr">
        <is>
          <t>Research / Active Project</t>
        </is>
      </c>
      <c r="G5" s="99" t="inlineStr">
        <is>
          <t>Website — NLP</t>
        </is>
      </c>
      <c r="H5" s="101" t="inlineStr">
        <is>
          <t>Yes</t>
        </is>
      </c>
      <c r="I5" s="99" t="inlineStr">
        <is>
          <t>No process information. Visitor has no idea what happens after they call.</t>
        </is>
      </c>
      <c r="J5" s="99" t="inlineStr">
        <is>
          <t>Vague reference to a process — 'we'll get back to you.' No specifics.</t>
        </is>
      </c>
      <c r="K5" s="99" t="inlineStr">
        <is>
          <t>Basic process outlined — call, quote, schedule, complete. Steps identifiable.</t>
        </is>
      </c>
      <c r="L5" s="99" t="inlineStr">
        <is>
          <t>Full process explained with timeline expectations — how long the assessment takes, when the quote arrives, when work starts, what a reasonable price looks like.</t>
        </is>
      </c>
      <c r="M5" s="99" t="inlineStr">
        <is>
          <t>Most homeowners don't hire trades regularly. Uncertainty about what happens next creates hesitation that kills conversions.</t>
        </is>
      </c>
      <c r="N5" s="99" t="inlineStr">
        <is>
          <t>Removes the anxiety of the unknown. A visitor who understands the process is significantly more likely to take the first step.</t>
        </is>
      </c>
      <c r="O5" s="99" t="inlineStr">
        <is>
          <t>Direct fetch → Claude NLP</t>
        </is>
      </c>
    </row>
    <row r="6" ht="79.5" customHeight="1" s="92">
      <c r="A6" s="94" t="n">
        <v>5</v>
      </c>
      <c r="B6" s="95" t="inlineStr">
        <is>
          <t>Service Area Clarity</t>
        </is>
      </c>
      <c r="C6" s="95" t="inlineStr">
        <is>
          <t>Website</t>
        </is>
      </c>
      <c r="D6" s="95" t="n">
        <v>1</v>
      </c>
      <c r="E6" s="96" t="inlineStr">
        <is>
          <t>Discovery</t>
        </is>
      </c>
      <c r="F6" s="95" t="inlineStr">
        <is>
          <t>Research / Active Project</t>
        </is>
      </c>
      <c r="G6" s="95" t="inlineStr">
        <is>
          <t>Website — NLP</t>
        </is>
      </c>
      <c r="H6" s="97" t="inlineStr">
        <is>
          <t>Yes</t>
        </is>
      </c>
      <c r="I6" s="95" t="inlineStr">
        <is>
          <t>No service area mentioned. Visitor cannot tell if the contractor serves their location.</t>
        </is>
      </c>
      <c r="J6" s="95" t="inlineStr">
        <is>
          <t>City mentioned in footer only. Surrounding communities not listed.</t>
        </is>
      </c>
      <c r="K6" s="95" t="inlineStr">
        <is>
          <t>Primary city and some surrounding communities listed. Service area page exists.</t>
        </is>
      </c>
      <c r="L6" s="95" t="inlineStr">
        <is>
          <t>All communities in the 100km protected market clearly listed. Service area page optimised for each community. Geographic coverage explicit.</t>
        </is>
      </c>
      <c r="M6" s="95" t="inlineStr">
        <is>
          <t>If a homeowner can't tell in 10 seconds whether the contractor serves their area, they move on. Service area ambiguity is an invisible conversion killer.</t>
        </is>
      </c>
      <c r="N6" s="95" t="inlineStr">
        <is>
          <t>Qualifies and retains visitors from surrounding communities in the protected market. Feeds geographic search visibility signal.</t>
        </is>
      </c>
      <c r="O6" s="95" t="inlineStr">
        <is>
          <t>Direct fetch → Claude NLP</t>
        </is>
      </c>
    </row>
    <row r="7" ht="79.5" customHeight="1" s="92">
      <c r="A7" s="102" t="n">
        <v>6</v>
      </c>
      <c r="B7" s="103" t="inlineStr">
        <is>
          <t>Before &amp; After Gallery</t>
        </is>
      </c>
      <c r="C7" s="103" t="inlineStr">
        <is>
          <t>Website</t>
        </is>
      </c>
      <c r="D7" s="103" t="n">
        <v>1</v>
      </c>
      <c r="E7" s="104" t="inlineStr">
        <is>
          <t>Engagement</t>
        </is>
      </c>
      <c r="F7" s="103" t="inlineStr">
        <is>
          <t>Comparison</t>
        </is>
      </c>
      <c r="G7" s="103" t="inlineStr">
        <is>
          <t>Website — image and page analysis</t>
        </is>
      </c>
      <c r="H7" s="105" t="inlineStr">
        <is>
          <t>Yes</t>
        </is>
      </c>
      <c r="I7" s="103" t="inlineStr">
        <is>
          <t>No before/after content. No project photography anywhere on website.</t>
        </is>
      </c>
      <c r="J7" s="103" t="inlineStr">
        <is>
          <t>A few generic project photos. No before/after pairing. Low quality.</t>
        </is>
      </c>
      <c r="K7" s="103" t="inlineStr">
        <is>
          <t>Before/after gallery exists with at least 10 paired images. Trade-specific. Reasonably current.</t>
        </is>
      </c>
      <c r="L7" s="103" t="inlineStr">
        <is>
          <t>Extensive, well-organised before/after gallery with captions describing the project, challenge, and outcome. Trade-specific categories. Updated regularly.</t>
        </is>
      </c>
      <c r="M7" s="103" t="inlineStr">
        <is>
          <t>In trades, proof of work is the most powerful conversion tool available. A homeowner considering a bathroom reno wants to see what you've actually done.</t>
        </is>
      </c>
      <c r="N7" s="103" t="inlineStr">
        <is>
          <t>Validates capability instantly without words. Reduces the credibility gap between a contractor making claims and one demonstrating results.</t>
        </is>
      </c>
      <c r="O7" s="103" t="inlineStr">
        <is>
          <t>Direct fetch → Claude NLP</t>
        </is>
      </c>
    </row>
    <row r="8" ht="79.5" customHeight="1" s="92">
      <c r="A8" s="106" t="n">
        <v>7</v>
      </c>
      <c r="B8" s="107" t="inlineStr">
        <is>
          <t>Blog &amp; Educational Content</t>
        </is>
      </c>
      <c r="C8" s="107" t="inlineStr">
        <is>
          <t>Website</t>
        </is>
      </c>
      <c r="D8" s="107" t="n">
        <v>1</v>
      </c>
      <c r="E8" s="108" t="inlineStr">
        <is>
          <t>Engagement</t>
        </is>
      </c>
      <c r="F8" s="107" t="inlineStr">
        <is>
          <t>Research</t>
        </is>
      </c>
      <c r="G8" s="107" t="inlineStr">
        <is>
          <t>Website — content inventory</t>
        </is>
      </c>
      <c r="H8" s="109" t="inlineStr">
        <is>
          <t>Yes</t>
        </is>
      </c>
      <c r="I8" s="107" t="inlineStr">
        <is>
          <t>No blog or educational content. Website is purely promotional.</t>
        </is>
      </c>
      <c r="J8" s="107" t="inlineStr">
        <is>
          <t>A few articles present but outdated (12+ months). Generic topics. Low value.</t>
        </is>
      </c>
      <c r="K8" s="107" t="inlineStr">
        <is>
          <t>Blog present with content updated in last 6 months. Some trade-specific educational topics.</t>
        </is>
      </c>
      <c r="L8" s="107" t="inlineStr">
        <is>
          <t>Active blog or resource section. Trade-specific content targeting real homeowner questions. Updated monthly minimum. Content mapped to seasonal demand peaks.</t>
        </is>
      </c>
      <c r="M8" s="107" t="inlineStr">
        <is>
          <t>Educational content is the mechanism by which a contractor captures Research-intent visitors — the ones planning ahead who become the highest-value, least price-sensitive customers.</t>
        </is>
      </c>
      <c r="N8" s="107" t="inlineStr">
        <is>
          <t>Builds authority before the visitor is ready to call. Research-intent visitors who return to book are far less likely to price-shop than cold searchers.</t>
        </is>
      </c>
      <c r="O8" s="107" t="inlineStr">
        <is>
          <t>Direct fetch → Claude NLP</t>
        </is>
      </c>
    </row>
    <row r="9" ht="79.5" customHeight="1" s="92">
      <c r="A9" s="102" t="n">
        <v>8</v>
      </c>
      <c r="B9" s="103" t="inlineStr">
        <is>
          <t>FAQ Coverage</t>
        </is>
      </c>
      <c r="C9" s="103" t="inlineStr">
        <is>
          <t>Website</t>
        </is>
      </c>
      <c r="D9" s="103" t="n">
        <v>1</v>
      </c>
      <c r="E9" s="104" t="inlineStr">
        <is>
          <t>Engagement</t>
        </is>
      </c>
      <c r="F9" s="103" t="inlineStr">
        <is>
          <t>Research</t>
        </is>
      </c>
      <c r="G9" s="103" t="inlineStr">
        <is>
          <t>Website — NLP</t>
        </is>
      </c>
      <c r="H9" s="105" t="inlineStr">
        <is>
          <t>Yes</t>
        </is>
      </c>
      <c r="I9" s="103" t="inlineStr">
        <is>
          <t>No FAQ section. Common homeowner questions unanswered.</t>
        </is>
      </c>
      <c r="J9" s="103" t="inlineStr">
        <is>
          <t>FAQ exists but shallow — fewer than 5 questions. Generic. Not trade-specific.</t>
        </is>
      </c>
      <c r="K9" s="103" t="inlineStr">
        <is>
          <t>FAQ covers 5–10 genuine homeowner questions with substantive answers.</t>
        </is>
      </c>
      <c r="L9" s="103" t="inlineStr">
        <is>
          <t>Comprehensive FAQ covering 15+ real homeowner questions across all intent buckets — Emergency (how fast can you come?), Pricing (do you offer free estimates?), Process (how long does X take?), Credentials (are you licensed?).</t>
        </is>
      </c>
      <c r="M9" s="103" t="inlineStr">
        <is>
          <t>FAQ is a dual-purpose signal — it answers homeowner objections before they become phone call hesitations, and it is indexed by both Google and AI platforms as authoritative question-answer content.</t>
        </is>
      </c>
      <c r="N9" s="103" t="inlineStr">
        <is>
          <t>Reduces inbound pre-qualification calls. Feeds AI citation readiness. Addresses objections proactively before they kill the conversion.</t>
        </is>
      </c>
      <c r="O9" s="103" t="inlineStr">
        <is>
          <t>Direct fetch → Claude NLP</t>
        </is>
      </c>
    </row>
    <row r="10" ht="79.5" customHeight="1" s="92">
      <c r="A10" s="106" t="n">
        <v>9</v>
      </c>
      <c r="B10" s="107" t="inlineStr">
        <is>
          <t>Credentials &amp; Licensing Visibility</t>
        </is>
      </c>
      <c r="C10" s="107" t="inlineStr">
        <is>
          <t>Website</t>
        </is>
      </c>
      <c r="D10" s="107" t="n">
        <v>1</v>
      </c>
      <c r="E10" s="108" t="inlineStr">
        <is>
          <t>Engagement</t>
        </is>
      </c>
      <c r="F10" s="107" t="inlineStr">
        <is>
          <t>Comparison / Emergency</t>
        </is>
      </c>
      <c r="G10" s="107" t="inlineStr">
        <is>
          <t>Website — NLP + logo detection</t>
        </is>
      </c>
      <c r="H10" s="109" t="inlineStr">
        <is>
          <t>Yes</t>
        </is>
      </c>
      <c r="I10" s="107" t="inlineStr">
        <is>
          <t>No credentials, licences, or insurance information visible anywhere.</t>
        </is>
      </c>
      <c r="J10" s="107" t="inlineStr">
        <is>
          <t>Licensed and insured mentioned in text only. No specific credential names or logos.</t>
        </is>
      </c>
      <c r="K10" s="107" t="inlineStr">
        <is>
          <t>Core trade credentials named and visible. WSIB confirmed. Liability insurance stated.</t>
        </is>
      </c>
      <c r="L10" s="107" t="inlineStr">
        <is>
          <t>All relevant credentials named, numbered where applicable, displayed with logos across homepage, footer, and key service pages. WSIB, liability insurance, trade association membership, manufacturer certifications all visible.</t>
        </is>
      </c>
      <c r="M10" s="107" t="inlineStr">
        <is>
          <t>Before letting someone into their home, homeowners want confirmation the contractor is licenced, insured, and accountable. Credential gaps trigger abandonment at the last moment.</t>
        </is>
      </c>
      <c r="N10" s="107" t="inlineStr">
        <is>
          <t>Removes the single biggest objection to hiring an unfamiliar contractor. Visitors in Emergency intent can confirm legitimacy immediately without having to call and ask.</t>
        </is>
      </c>
      <c r="O10" s="107" t="inlineStr">
        <is>
          <t>Direct fetch → Claude NLP</t>
        </is>
      </c>
    </row>
    <row r="11" ht="79.5" customHeight="1" s="92">
      <c r="A11" s="110" t="n">
        <v>10</v>
      </c>
      <c r="B11" s="111" t="inlineStr">
        <is>
          <t>Pricing Transparency</t>
        </is>
      </c>
      <c r="C11" s="111" t="inlineStr">
        <is>
          <t>Website</t>
        </is>
      </c>
      <c r="D11" s="111" t="n">
        <v>1</v>
      </c>
      <c r="E11" s="112" t="inlineStr">
        <is>
          <t>Conversion</t>
        </is>
      </c>
      <c r="F11" s="111" t="inlineStr">
        <is>
          <t>Comparison / Active Project</t>
        </is>
      </c>
      <c r="G11" s="111" t="inlineStr">
        <is>
          <t>Website — NLP</t>
        </is>
      </c>
      <c r="H11" s="113" t="inlineStr">
        <is>
          <t>Yes</t>
        </is>
      </c>
      <c r="I11" s="111" t="inlineStr">
        <is>
          <t>No pricing information. No indication of how pricing works or what to expect.</t>
        </is>
      </c>
      <c r="J11" s="111" t="inlineStr">
        <is>
          <t>Vague pricing language — 'competitive rates' or 'call for a quote.' No ranges or structure.</t>
        </is>
      </c>
      <c r="K11" s="111" t="inlineStr">
        <is>
          <t>Pricing approach explained — flat rate, hourly, or project-based. Some indication of cost ranges for common jobs.</t>
        </is>
      </c>
      <c r="L11" s="111" t="inlineStr">
        <is>
          <t>Clear pricing structure with honest ranges for common services. Diagnostic fee policy stated. No-surprise guarantee present. Homeowner knows what to expect before they call.</t>
        </is>
      </c>
      <c r="M11" s="111" t="inlineStr">
        <is>
          <t>Price uncertainty is the second most common reason homeowners delay calling a contractor. They don't want to feel ambushed by the number when the tech arrives.</t>
        </is>
      </c>
      <c r="N11" s="111" t="inlineStr">
        <is>
          <t>Reduces pre-call anxiety and eliminates the most common stall — 'let me get a few more quotes.' Homeowners who understand pricing call faster and convert at higher rates.</t>
        </is>
      </c>
      <c r="O11" s="111" t="inlineStr">
        <is>
          <t>Direct fetch → Claude NLP</t>
        </is>
      </c>
    </row>
    <row r="12" ht="79.5" customHeight="1" s="92">
      <c r="A12" s="94" t="n">
        <v>11</v>
      </c>
      <c r="B12" s="95" t="inlineStr">
        <is>
          <t>GBP Completeness</t>
        </is>
      </c>
      <c r="C12" s="95" t="inlineStr">
        <is>
          <t>Google Business Profile</t>
        </is>
      </c>
      <c r="D12" s="95" t="n">
        <v>2</v>
      </c>
      <c r="E12" s="96" t="inlineStr">
        <is>
          <t>Discovery</t>
        </is>
      </c>
      <c r="F12" s="95" t="inlineStr">
        <is>
          <t>Research / Comparison</t>
        </is>
      </c>
      <c r="G12" s="95" t="inlineStr">
        <is>
          <t>Google Places API</t>
        </is>
      </c>
      <c r="H12" s="97" t="inlineStr">
        <is>
          <t>Yes</t>
        </is>
      </c>
      <c r="I12" s="95" t="inlineStr">
        <is>
          <t>Profile unclaimed or empty. Business name only. No category, hours, or description.</t>
        </is>
      </c>
      <c r="J12" s="95" t="inlineStr">
        <is>
          <t>Claimed but incomplete. Primary category set. Basic hours present. Description missing.</t>
        </is>
      </c>
      <c r="K12" s="95" t="inlineStr">
        <is>
          <t>Core fields complete — categories, description, hours, partial service list. NAP consistent.</t>
        </is>
      </c>
      <c r="L12" s="95" t="inlineStr">
        <is>
          <t>Fully optimised. Primary and secondary categories precise. Description keyword-rich. Full service list with descriptions. All attributes configured. NAP perfect.</t>
        </is>
      </c>
      <c r="M12" s="95" t="inlineStr">
        <is>
          <t>For most contractor searches, the GBP Map Pack result is the first and sometimes only thing a prospect sees. An incomplete profile gets deprioritised by Google's algorithm.</t>
        </is>
      </c>
      <c r="N12" s="95" t="inlineStr">
        <is>
          <t>Maximum algorithmic visibility in local search. Every field correctly filled signals to Google that this is a legitimate, active, well-run business worthy of surfacing.</t>
        </is>
      </c>
      <c r="O12" s="95" t="inlineStr">
        <is>
          <t>Google Places API → formula scored</t>
        </is>
      </c>
    </row>
    <row r="13" ht="79.5" customHeight="1" s="92">
      <c r="A13" s="102" t="n">
        <v>12</v>
      </c>
      <c r="B13" s="103" t="inlineStr">
        <is>
          <t>GBP Photo Volume &amp; Quality</t>
        </is>
      </c>
      <c r="C13" s="103" t="inlineStr">
        <is>
          <t>Google Business Profile</t>
        </is>
      </c>
      <c r="D13" s="103" t="n">
        <v>2</v>
      </c>
      <c r="E13" s="104" t="inlineStr">
        <is>
          <t>Engagement</t>
        </is>
      </c>
      <c r="F13" s="103" t="inlineStr">
        <is>
          <t>Comparison</t>
        </is>
      </c>
      <c r="G13" s="103" t="inlineStr">
        <is>
          <t>Google Places API — photo count and recency</t>
        </is>
      </c>
      <c r="H13" s="105" t="inlineStr">
        <is>
          <t>Yes</t>
        </is>
      </c>
      <c r="I13" s="103" t="inlineStr">
        <is>
          <t>No photos or stock imagery only.</t>
        </is>
      </c>
      <c r="J13" s="103" t="inlineStr">
        <is>
          <t>Fewer than 10 photos. Low quality. No recent uploads.</t>
        </is>
      </c>
      <c r="K13" s="103" t="inlineStr">
        <is>
          <t>10–25 photos. Genuine project work visible. Team photo present. Cover photo configured.</t>
        </is>
      </c>
      <c r="L13" s="103" t="inlineStr">
        <is>
          <t>25+ photos consistently maintained. High quality real project photography. Trade-specific categories. New photos added regularly — at least monthly.</t>
        </is>
      </c>
      <c r="M13" s="103" t="inlineStr">
        <is>
          <t>Photos are the fastest trust signal on GBP. A profile with no photos signals inactivity. Prospects judge the quality of your work by the quality of your photos.</t>
        </is>
      </c>
      <c r="N13" s="103" t="inlineStr">
        <is>
          <t>Drives click-through from Map Pack to profile. Profiles with 25+ photos receive significantly more direction requests and calls than those with under 10.</t>
        </is>
      </c>
      <c r="O13" s="103" t="inlineStr">
        <is>
          <t>Google Places API → formula scored</t>
        </is>
      </c>
    </row>
    <row r="14" ht="79.5" customHeight="1" s="92">
      <c r="A14" s="106" t="n">
        <v>13</v>
      </c>
      <c r="B14" s="107" t="inlineStr">
        <is>
          <t>GBP Review Score &amp; Velocity</t>
        </is>
      </c>
      <c r="C14" s="107" t="inlineStr">
        <is>
          <t>Google Business Profile</t>
        </is>
      </c>
      <c r="D14" s="107" t="n">
        <v>2</v>
      </c>
      <c r="E14" s="108" t="inlineStr">
        <is>
          <t>Engagement</t>
        </is>
      </c>
      <c r="F14" s="107" t="inlineStr">
        <is>
          <t>Comparison</t>
        </is>
      </c>
      <c r="G14" s="107" t="inlineStr">
        <is>
          <t>Google Places API — rating, review count, recency</t>
        </is>
      </c>
      <c r="H14" s="109" t="inlineStr">
        <is>
          <t>Yes</t>
        </is>
      </c>
      <c r="I14" s="107" t="inlineStr">
        <is>
          <t>Fewer than 5 reviews or average below 3.5 stars.</t>
        </is>
      </c>
      <c r="J14" s="107" t="inlineStr">
        <is>
          <t>5–15 reviews. Average 3.5–4.0. No recent reviews in last 90 days.</t>
        </is>
      </c>
      <c r="K14" s="107" t="inlineStr">
        <is>
          <t>15–40 reviews. Average 4.0–4.5. Some recent reviews. Velocity inconsistent.</t>
        </is>
      </c>
      <c r="L14" s="107" t="inlineStr">
        <is>
          <t>40+ reviews at or above tenure benchmark (years × 6). Average 4.5+. Consistent recent velocity — at least 2 new reviews per month. Score and velocity both reinforcing.</t>
        </is>
      </c>
      <c r="M14" s="107" t="inlineStr">
        <is>
          <t>Review score and velocity are the most-viewed signals on GBP. They directly determine Map Pack position and conversion rate once a prospect lands on the profile.</t>
        </is>
      </c>
      <c r="N14" s="107" t="inlineStr">
        <is>
          <t>High score wins the click. Consistent velocity signals an active, trusted business. The tenure benchmark (years × 6) ensures scoring is fair to newer contractors.</t>
        </is>
      </c>
      <c r="O14" s="107" t="inlineStr">
        <is>
          <t>Google Places API → formula scored (yearsInBusiness × 6 benchmark)</t>
        </is>
      </c>
    </row>
    <row r="15" ht="79.5" customHeight="1" s="92">
      <c r="A15" s="102" t="n">
        <v>14</v>
      </c>
      <c r="B15" s="103" t="inlineStr">
        <is>
          <t>GBP Review Response Behaviour</t>
        </is>
      </c>
      <c r="C15" s="103" t="inlineStr">
        <is>
          <t>Google Business Profile</t>
        </is>
      </c>
      <c r="D15" s="103" t="n">
        <v>2</v>
      </c>
      <c r="E15" s="104" t="inlineStr">
        <is>
          <t>Engagement</t>
        </is>
      </c>
      <c r="F15" s="103" t="inlineStr">
        <is>
          <t>Comparison</t>
        </is>
      </c>
      <c r="G15" s="103" t="inlineStr">
        <is>
          <t>Google Places API — response rate and recency</t>
        </is>
      </c>
      <c r="H15" s="105" t="inlineStr">
        <is>
          <t>Yes</t>
        </is>
      </c>
      <c r="I15" s="103" t="inlineStr">
        <is>
          <t>No responses to any reviews — positive or negative.</t>
        </is>
      </c>
      <c r="J15" s="103" t="inlineStr">
        <is>
          <t>Occasional responses to negative reviews only. Positive reviews ignored.</t>
        </is>
      </c>
      <c r="K15" s="103" t="inlineStr">
        <is>
          <t>Responds to most reviews. Some personal detail. Response time within a week.</t>
        </is>
      </c>
      <c r="L15" s="103" t="inlineStr">
        <is>
          <t>Responds to every review — positive and negative — promptly and personally. Responses add context, thank the customer by name, and address any concern raised. Signals an accountable, attentive business.</t>
        </is>
      </c>
      <c r="M15" s="103" t="inlineStr">
        <is>
          <t>Responding to reviews is a public act — every prospect reads how you treat existing customers. Ignoring reviews, especially negative ones, signals that complaints go unaddressed.</t>
        </is>
      </c>
      <c r="N15" s="103" t="inlineStr">
        <is>
          <t>Converts review reading into trust-building. A contractor who responds personally and promptly to every review appears more professional than a 5-star competitor who never responds.</t>
        </is>
      </c>
      <c r="O15" s="103" t="inlineStr">
        <is>
          <t>Google Places API → formula scored</t>
        </is>
      </c>
    </row>
    <row r="16" ht="79.5" customHeight="1" s="92">
      <c r="A16" s="106" t="n">
        <v>15</v>
      </c>
      <c r="B16" s="107" t="inlineStr">
        <is>
          <t>GBP Posts &amp; Updates</t>
        </is>
      </c>
      <c r="C16" s="107" t="inlineStr">
        <is>
          <t>Google Business Profile</t>
        </is>
      </c>
      <c r="D16" s="107" t="n">
        <v>2</v>
      </c>
      <c r="E16" s="108" t="inlineStr">
        <is>
          <t>Engagement</t>
        </is>
      </c>
      <c r="F16" s="107" t="inlineStr">
        <is>
          <t>Research</t>
        </is>
      </c>
      <c r="G16" s="107" t="inlineStr">
        <is>
          <t>Google Places API — post frequency</t>
        </is>
      </c>
      <c r="H16" s="109" t="inlineStr">
        <is>
          <t>Yes</t>
        </is>
      </c>
      <c r="I16" s="107" t="inlineStr">
        <is>
          <t>No posts in last 90 days. Profile appears inactive.</t>
        </is>
      </c>
      <c r="J16" s="107" t="inlineStr">
        <is>
          <t>1–2 posts in last 90 days. Sporadic. No pattern.</t>
        </is>
      </c>
      <c r="K16" s="107" t="inlineStr">
        <is>
          <t>Posts at least twice monthly. Mix of promotional and informational content. Some seasonal relevance.</t>
        </is>
      </c>
      <c r="L16" s="107" t="inlineStr">
        <is>
          <t>Weekly minimum. Deliberate content mix — seasonal tips, completed projects, offers, emergency reminders, trade education. Posts timed to demand peaks.</t>
        </is>
      </c>
      <c r="M16" s="107" t="inlineStr">
        <is>
          <t>GBP posts signal an active, engaged business. Google prioritises profiles with recent post activity in Map Pack rankings. Posts also appear directly in search results.</t>
        </is>
      </c>
      <c r="N16" s="107" t="inlineStr">
        <is>
          <t>Keeps the profile ranking higher and gives prospects fresh reasons to call. Seasonal posts timed before demand spikes capture searchers at the right moment.</t>
        </is>
      </c>
      <c r="O16" s="107" t="inlineStr">
        <is>
          <t>Google Places API → post count (GMB API OAuth for full history)</t>
        </is>
      </c>
    </row>
    <row r="17" ht="79.5" customHeight="1" s="92">
      <c r="A17" s="98" t="n">
        <v>16</v>
      </c>
      <c r="B17" s="99" t="inlineStr">
        <is>
          <t>GBP Services &amp; Products</t>
        </is>
      </c>
      <c r="C17" s="99" t="inlineStr">
        <is>
          <t>Google Business Profile</t>
        </is>
      </c>
      <c r="D17" s="99" t="n">
        <v>2</v>
      </c>
      <c r="E17" s="100" t="inlineStr">
        <is>
          <t>Discovery</t>
        </is>
      </c>
      <c r="F17" s="99" t="inlineStr">
        <is>
          <t>Active Project</t>
        </is>
      </c>
      <c r="G17" s="99" t="inlineStr">
        <is>
          <t>Google Places API — service list</t>
        </is>
      </c>
      <c r="H17" s="101" t="inlineStr">
        <is>
          <t>Yes</t>
        </is>
      </c>
      <c r="I17" s="99" t="inlineStr">
        <is>
          <t>No services listed. Profile gives no indication of what the contractor does.</t>
        </is>
      </c>
      <c r="J17" s="99" t="inlineStr">
        <is>
          <t>A few services listed with no descriptions. Generic service names only.</t>
        </is>
      </c>
      <c r="K17" s="99" t="inlineStr">
        <is>
          <t>Core services listed with basic descriptions. Primary trade services represented.</t>
        </is>
      </c>
      <c r="L17" s="99" t="inlineStr">
        <is>
          <t>Comprehensive service list covering all trade offerings with descriptive text. Trade-specific depth. Descriptions written in client language. Consistent with website service pages.</t>
        </is>
      </c>
      <c r="M17" s="99" t="inlineStr">
        <is>
          <t>The services section is indexed by Google and directly matches search queries. It is a free keyword expansion layer most contractors leave empty.</t>
        </is>
      </c>
      <c r="N17" s="99" t="inlineStr">
        <is>
          <t>Expands the search queries the GBP profile surfaces for. Every service description is both an SEO signal and a sales argument.</t>
        </is>
      </c>
      <c r="O17" s="99" t="inlineStr">
        <is>
          <t>Google Places API → formula scored</t>
        </is>
      </c>
    </row>
    <row r="18" ht="79.5" customHeight="1" s="92">
      <c r="A18" s="106" t="n">
        <v>17</v>
      </c>
      <c r="B18" s="107" t="inlineStr">
        <is>
          <t>GBP Q&amp;A</t>
        </is>
      </c>
      <c r="C18" s="107" t="inlineStr">
        <is>
          <t>Google Business Profile</t>
        </is>
      </c>
      <c r="D18" s="107" t="n">
        <v>2</v>
      </c>
      <c r="E18" s="108" t="inlineStr">
        <is>
          <t>Engagement</t>
        </is>
      </c>
      <c r="F18" s="107" t="inlineStr">
        <is>
          <t>Research</t>
        </is>
      </c>
      <c r="G18" s="107" t="inlineStr">
        <is>
          <t>Google Places API — Q&amp;A presence</t>
        </is>
      </c>
      <c r="H18" s="109" t="inlineStr">
        <is>
          <t>Yes</t>
        </is>
      </c>
      <c r="I18" s="107" t="inlineStr">
        <is>
          <t>No Q&amp;A activity. Public questions unanswered. Business has never seeded the section.</t>
        </is>
      </c>
      <c r="J18" s="107" t="inlineStr">
        <is>
          <t>A few public-generated questions, unanswered or poorly answered.</t>
        </is>
      </c>
      <c r="K18" s="107" t="inlineStr">
        <is>
          <t>Business has seeded at least 5 questions and answers. Public questions answered.</t>
        </is>
      </c>
      <c r="L18" s="107" t="inlineStr">
        <is>
          <t>Q&amp;A actively managed with 10+ high-value questions matching real search intent. All public questions answered promptly. Trade-specific concerns addressed. Functions as secondary FAQ.</t>
        </is>
      </c>
      <c r="M18" s="107" t="inlineStr">
        <is>
          <t>GBP Q&amp;A is indexed by Google and increasingly referenced by AI search platforms. Seeding it with real homeowner questions is a free authority-building mechanism.</t>
        </is>
      </c>
      <c r="N18" s="107" t="inlineStr">
        <is>
          <t>Answers objections proactively before the phone call. Feeds AI citation readiness. Reduces pre-qualification call volume.</t>
        </is>
      </c>
      <c r="O18" s="107" t="inlineStr">
        <is>
          <t>Google Places API → Q&amp;A count</t>
        </is>
      </c>
    </row>
    <row r="19" ht="79.5" customHeight="1" s="92">
      <c r="A19" s="110" t="n">
        <v>18</v>
      </c>
      <c r="B19" s="111" t="inlineStr">
        <is>
          <t>GBP Contact &amp; Conversion Features</t>
        </is>
      </c>
      <c r="C19" s="111" t="inlineStr">
        <is>
          <t>Google Business Profile</t>
        </is>
      </c>
      <c r="D19" s="111" t="n">
        <v>2</v>
      </c>
      <c r="E19" s="112" t="inlineStr">
        <is>
          <t>Conversion</t>
        </is>
      </c>
      <c r="F19" s="111" t="inlineStr">
        <is>
          <t>Emergency / Active Project</t>
        </is>
      </c>
      <c r="G19" s="111" t="inlineStr">
        <is>
          <t>Google Places API — feature detection</t>
        </is>
      </c>
      <c r="H19" s="113" t="inlineStr">
        <is>
          <t>Yes</t>
        </is>
      </c>
      <c r="I19" s="111" t="inlineStr">
        <is>
          <t>No contact or conversion features configured. Messaging disabled. No booking button.</t>
        </is>
      </c>
      <c r="J19" s="111" t="inlineStr">
        <is>
          <t>One feature enabled but not optimised. Messaging on but slow to respond.</t>
        </is>
      </c>
      <c r="K19" s="111" t="inlineStr">
        <is>
          <t>Two features active. Messaging with automated acknowledgement. Quote or booking button configured.</t>
        </is>
      </c>
      <c r="L19" s="111" t="inlineStr">
        <is>
          <t>All three features active — messaging with instant acknowledgement, get-a-quote monitored, booking button linked to live scheduling. Emergency-intent visitors can initiate contact without visiting website.</t>
        </is>
      </c>
      <c r="M19" s="111" t="inlineStr">
        <is>
          <t>Emergency-intent searchers need to reach a contractor in under 60 seconds. Conversion features on GBP eliminate the need to navigate to a website before making contact.</t>
        </is>
      </c>
      <c r="N19" s="111" t="inlineStr">
        <is>
          <t>Captures the highest-value intent segment directly from the Map Pack. Integrated with A2P for licensed clients — every contact timestamped and attributed.</t>
        </is>
      </c>
      <c r="O19" s="111" t="inlineStr">
        <is>
          <t>Google Places API → feature flags</t>
        </is>
      </c>
    </row>
    <row r="20" ht="79.5" customHeight="1" s="92">
      <c r="A20" s="94" t="n">
        <v>19</v>
      </c>
      <c r="B20" s="95" t="inlineStr">
        <is>
          <t>Facebook Page Completeness</t>
        </is>
      </c>
      <c r="C20" s="95" t="inlineStr">
        <is>
          <t>Facebook</t>
        </is>
      </c>
      <c r="D20" s="95" t="n">
        <v>3</v>
      </c>
      <c r="E20" s="96" t="inlineStr">
        <is>
          <t>Discovery</t>
        </is>
      </c>
      <c r="F20" s="95" t="inlineStr">
        <is>
          <t>Research / Comparison</t>
        </is>
      </c>
      <c r="G20" s="95" t="inlineStr">
        <is>
          <t>Facebook Graph API / Apify</t>
        </is>
      </c>
      <c r="H20" s="97" t="inlineStr">
        <is>
          <t>Yes</t>
        </is>
      </c>
      <c r="I20" s="95" t="inlineStr">
        <is>
          <t>No Facebook page or page is unclaimed.</t>
        </is>
      </c>
      <c r="J20" s="95" t="inlineStr">
        <is>
          <t>Page exists but incomplete. Inconsistent branding. No CTA button.</t>
        </is>
      </c>
      <c r="K20" s="95" t="inlineStr">
        <is>
          <t>Claimed and reasonably complete. Consistent branding. CTA button configured. About section populated.</t>
        </is>
      </c>
      <c r="L20" s="95" t="inlineStr">
        <is>
          <t>Fully optimised. Visual identity consistent. All business information complete. CTA button linked to highest-converting destination. NAP perfectly consistent with GBP and website.</t>
        </is>
      </c>
      <c r="M20" s="95" t="inlineStr">
        <is>
          <t>In Northern Ontario markets, Facebook is where trades businesses live in their community. When someone asks in a local group 'who's a good plumber?' the first thing people do is click the page.</t>
        </is>
      </c>
      <c r="N20" s="95" t="inlineStr">
        <is>
          <t>Captures warm community referrals arriving via Facebook search or group recommendation. An empty page sends the referral straight to a competitor.</t>
        </is>
      </c>
      <c r="O20" s="95" t="inlineStr">
        <is>
          <t>Apify Facebook Page Scraper → Claude NLP</t>
        </is>
      </c>
    </row>
    <row r="21" ht="79.5" customHeight="1" s="92">
      <c r="A21" s="102" t="n">
        <v>20</v>
      </c>
      <c r="B21" s="103" t="inlineStr">
        <is>
          <t>Facebook Content &amp; Community Voice</t>
        </is>
      </c>
      <c r="C21" s="103" t="inlineStr">
        <is>
          <t>Facebook</t>
        </is>
      </c>
      <c r="D21" s="103" t="n">
        <v>3</v>
      </c>
      <c r="E21" s="104" t="inlineStr">
        <is>
          <t>Engagement</t>
        </is>
      </c>
      <c r="F21" s="103" t="inlineStr">
        <is>
          <t>Research / Comparison</t>
        </is>
      </c>
      <c r="G21" s="103" t="inlineStr">
        <is>
          <t>Facebook Graph API / Apify — post feed + group monitoring</t>
        </is>
      </c>
      <c r="H21" s="105" t="inlineStr">
        <is>
          <t>Yes</t>
        </is>
      </c>
      <c r="I21" s="103" t="inlineStr">
        <is>
          <t>No content published. Silent page. No group participation.</t>
        </is>
      </c>
      <c r="J21" s="103" t="inlineStr">
        <is>
          <t>Fewer than 2 posts per month. Promotional only. No community voice.</t>
        </is>
      </c>
      <c r="K21" s="103" t="inlineStr">
        <is>
          <t>Weekly minimum posting. Mix of promotional and community content. Some group participation.</t>
        </is>
      </c>
      <c r="L21" s="103" t="inlineStr">
        <is>
          <t>Multiple times weekly. Community-first content — project highlights, seasonal tips, community involvement, trade education, team moments. Active in local Facebook groups — genuine value, never promotional in group context.</t>
        </is>
      </c>
      <c r="M21" s="103" t="inlineStr">
        <is>
          <t>Facebook reach for trades comes from community relevance, not follower count. Contractors who participate genuinely in local groups get organic recommendations from neighbours who've never hired them.</t>
        </is>
      </c>
      <c r="N21" s="103" t="inlineStr">
        <is>
          <t>Builds the contractor's community authority beyond their own follower base. Organic group participation is the highest-trust discovery channel available on Facebook.</t>
        </is>
      </c>
      <c r="O21" s="103" t="inlineStr">
        <is>
          <t>Apify → Claude NLP</t>
        </is>
      </c>
    </row>
    <row r="22" ht="79.5" customHeight="1" s="92">
      <c r="A22" s="106" t="n">
        <v>21</v>
      </c>
      <c r="B22" s="107" t="inlineStr">
        <is>
          <t>Facebook Review Score &amp; Velocity</t>
        </is>
      </c>
      <c r="C22" s="107" t="inlineStr">
        <is>
          <t>Facebook</t>
        </is>
      </c>
      <c r="D22" s="107" t="n">
        <v>3</v>
      </c>
      <c r="E22" s="108" t="inlineStr">
        <is>
          <t>Engagement</t>
        </is>
      </c>
      <c r="F22" s="107" t="inlineStr">
        <is>
          <t>Comparison</t>
        </is>
      </c>
      <c r="G22" s="107" t="inlineStr">
        <is>
          <t>Apify — review tab scrape</t>
        </is>
      </c>
      <c r="H22" s="109" t="inlineStr">
        <is>
          <t>Yes</t>
        </is>
      </c>
      <c r="I22" s="107" t="inlineStr">
        <is>
          <t>No reviews or average below 3.5 stars.</t>
        </is>
      </c>
      <c r="J22" s="107" t="inlineStr">
        <is>
          <t>Fewer than 10 reviews. Average 3.5–4.0. No recent reviews.</t>
        </is>
      </c>
      <c r="K22" s="107" t="inlineStr">
        <is>
          <t>10–25 reviews. Average 4.0–4.5. Some recent velocity.</t>
        </is>
      </c>
      <c r="L22" s="107" t="inlineStr">
        <is>
          <t>25+ reviews. Average 4.5+. Consistent recent velocity. Score mirrors GBP — cross-platform consistency reinforces trust narrative.</t>
        </is>
      </c>
      <c r="M22" s="107" t="inlineStr">
        <is>
          <t>Facebook reviews are read by people who discovered the contractor through community groups or friend recommendations — the highest-trust discovery path in the trades.</t>
        </is>
      </c>
      <c r="N22" s="107" t="inlineStr">
        <is>
          <t>Converts the warm community referral into a booked job. Cross-platform review consistency is increasingly important for AI authority — multiple independent sources telling the same story.</t>
        </is>
      </c>
      <c r="O22" s="107" t="inlineStr">
        <is>
          <t>Apify → formula scored</t>
        </is>
      </c>
    </row>
    <row r="23" ht="79.5" customHeight="1" s="92">
      <c r="A23" s="102" t="n">
        <v>22</v>
      </c>
      <c r="B23" s="103" t="inlineStr">
        <is>
          <t>Facebook Review Response Behaviour</t>
        </is>
      </c>
      <c r="C23" s="103" t="inlineStr">
        <is>
          <t>Facebook</t>
        </is>
      </c>
      <c r="D23" s="103" t="n">
        <v>3</v>
      </c>
      <c r="E23" s="104" t="inlineStr">
        <is>
          <t>Engagement</t>
        </is>
      </c>
      <c r="F23" s="103" t="inlineStr">
        <is>
          <t>Comparison</t>
        </is>
      </c>
      <c r="G23" s="103" t="inlineStr">
        <is>
          <t>Apify — review response scrape</t>
        </is>
      </c>
      <c r="H23" s="105" t="inlineStr">
        <is>
          <t>Yes</t>
        </is>
      </c>
      <c r="I23" s="103" t="inlineStr">
        <is>
          <t>No responses to any Facebook reviews.</t>
        </is>
      </c>
      <c r="J23" s="103" t="inlineStr">
        <is>
          <t>Occasional responses. No consistent pattern.</t>
        </is>
      </c>
      <c r="K23" s="103" t="inlineStr">
        <is>
          <t>Responds to most reviews within a week. Some personalisation.</t>
        </is>
      </c>
      <c r="L23" s="103" t="inlineStr">
        <is>
          <t>Responds to every review promptly and personally. Adds context and thanks by name. Negative reviews handled professionally and publicly.</t>
        </is>
      </c>
      <c r="M23" s="103" t="inlineStr">
        <is>
          <t>Facebook review responses are visible to the contractor's entire follower community. How you respond to a bad review tells the community more about your character than the review itself.</t>
        </is>
      </c>
      <c r="N23" s="103" t="inlineStr">
        <is>
          <t>Turns negative reviews into trust-building moments. Public, professional responses demonstrate accountability that no marketing campaign can replicate.</t>
        </is>
      </c>
      <c r="O23" s="103" t="inlineStr">
        <is>
          <t>Apify → formula scored</t>
        </is>
      </c>
    </row>
    <row r="24" ht="79.5" customHeight="1" s="92">
      <c r="A24" s="106" t="n">
        <v>23</v>
      </c>
      <c r="B24" s="107" t="inlineStr">
        <is>
          <t>Facebook Events</t>
        </is>
      </c>
      <c r="C24" s="107" t="inlineStr">
        <is>
          <t>Facebook</t>
        </is>
      </c>
      <c r="D24" s="107" t="n">
        <v>3</v>
      </c>
      <c r="E24" s="108" t="inlineStr">
        <is>
          <t>Engagement</t>
        </is>
      </c>
      <c r="F24" s="107" t="inlineStr">
        <is>
          <t>Research</t>
        </is>
      </c>
      <c r="G24" s="107" t="inlineStr">
        <is>
          <t>Apify — events tab</t>
        </is>
      </c>
      <c r="H24" s="109" t="inlineStr">
        <is>
          <t>Yes</t>
        </is>
      </c>
      <c r="I24" s="107" t="inlineStr">
        <is>
          <t>No events ever created. Events feature unused.</t>
        </is>
      </c>
      <c r="J24" s="107" t="inlineStr">
        <is>
          <t>1–2 events in last 12 months. Low attendance or generic.</t>
        </is>
      </c>
      <c r="K24" s="107" t="inlineStr">
        <is>
          <t>3–5 events in last 12 months. Trade-relevant. Some community participation.</t>
        </is>
      </c>
      <c r="L24" s="107" t="inlineStr">
        <is>
          <t>Regular events tied to seasonal demand peaks and community involvement — furnace check-up clinics, free home safety inspections, community sponsorship events. Events drive organic reach to non-followers.</t>
        </is>
      </c>
      <c r="M24" s="107" t="inlineStr">
        <is>
          <t>Events are one of the few organic reach mechanisms remaining on Facebook. A 'Free Winter Furnace Safety Check' event reaches people who have never followed the page through event discovery and friend shares.</t>
        </is>
      </c>
      <c r="N24" s="107" t="inlineStr">
        <is>
          <t>Extends organic reach beyond the existing follower base. Events tied to seasonal demand spikes are pre-built content that positions the contractor as a community resource before the call is made.</t>
        </is>
      </c>
      <c r="O24" s="107" t="inlineStr">
        <is>
          <t>Apify → event count and recency</t>
        </is>
      </c>
    </row>
    <row r="25" ht="79.5" customHeight="1" s="92">
      <c r="A25" s="102" t="n">
        <v>24</v>
      </c>
      <c r="B25" s="103" t="inlineStr">
        <is>
          <t>Facebook Video &amp; Reels</t>
        </is>
      </c>
      <c r="C25" s="103" t="inlineStr">
        <is>
          <t>Facebook</t>
        </is>
      </c>
      <c r="D25" s="103" t="n">
        <v>3</v>
      </c>
      <c r="E25" s="104" t="inlineStr">
        <is>
          <t>Engagement</t>
        </is>
      </c>
      <c r="F25" s="103" t="inlineStr">
        <is>
          <t>Research / Comparison</t>
        </is>
      </c>
      <c r="G25" s="103" t="inlineStr">
        <is>
          <t>Apify — video tab</t>
        </is>
      </c>
      <c r="H25" s="105" t="inlineStr">
        <is>
          <t>Yes</t>
        </is>
      </c>
      <c r="I25" s="103" t="inlineStr">
        <is>
          <t>No video content. Video feature entirely unused.</t>
        </is>
      </c>
      <c r="J25" s="103" t="inlineStr">
        <is>
          <t>1–2 videos. Low quality. No reels. No strategy.</t>
        </is>
      </c>
      <c r="K25" s="103" t="inlineStr">
        <is>
          <t>5–10 videos present. Mix of before/after and educational. Some reels.</t>
        </is>
      </c>
      <c r="L25" s="103" t="inlineStr">
        <is>
          <t>Regular video content — weekly minimum. Mix of short-form reels (15–60 seconds) and longer project reveals. Educational tips performing organically. Video content cross-posted from YouTube where channel exists.</t>
        </is>
      </c>
      <c r="M25" s="103" t="inlineStr">
        <is>
          <t>Facebook's algorithm prioritises video content over static posts. Short-form video (reels) is the highest-organic-reach format available to a trades contractor on the platform in 2026.</t>
        </is>
      </c>
      <c r="N25" s="103" t="inlineStr">
        <is>
          <t>Extends organic reach to non-followers. Video demonstrates competence faster than any other format. Reels showing 'before the fix vs after the fix' are highly shareable trade content.</t>
        </is>
      </c>
      <c r="O25" s="103" t="inlineStr">
        <is>
          <t>Apify → video count and recency → Claude NLP</t>
        </is>
      </c>
    </row>
    <row r="26" ht="79.5" customHeight="1" s="92">
      <c r="A26" s="94" t="n">
        <v>25</v>
      </c>
      <c r="B26" s="95" t="inlineStr">
        <is>
          <t>Nextdoor Business Page Presence</t>
        </is>
      </c>
      <c r="C26" s="95" t="inlineStr">
        <is>
          <t>Nextdoor</t>
        </is>
      </c>
      <c r="D26" s="95" t="n">
        <v>4</v>
      </c>
      <c r="E26" s="96" t="inlineStr">
        <is>
          <t>Discovery</t>
        </is>
      </c>
      <c r="F26" s="95" t="inlineStr">
        <is>
          <t>Research / Comparison</t>
        </is>
      </c>
      <c r="G26" s="95" t="inlineStr">
        <is>
          <t>Apify Nextdoor scraper</t>
        </is>
      </c>
      <c r="H26" s="97" t="inlineStr">
        <is>
          <t>Yes</t>
        </is>
      </c>
      <c r="I26" s="95" t="inlineStr">
        <is>
          <t>No Nextdoor business page. Contractor absent from platform.</t>
        </is>
      </c>
      <c r="J26" s="95" t="inlineStr">
        <is>
          <t>Page exists but unclaimed or incomplete. No service area configured.</t>
        </is>
      </c>
      <c r="K26" s="95" t="inlineStr">
        <is>
          <t>Claimed page. Service area configured to match protected market. Basic information complete.</t>
        </is>
      </c>
      <c r="L26" s="95" t="inlineStr">
        <is>
          <t>Fully optimised. Complete business information. Service area matches protected market. Visual identity consistent. Connected to all relevant neighbourhood communities.</t>
        </is>
      </c>
      <c r="M26" s="95" t="inlineStr">
        <is>
          <t>Nextdoor is hyper-local neighbour-to-neighbour recommendation. When someone posts 'does anyone know a good electrician?' the contractors with a claimed, complete page are the ones that get recommended.</t>
        </is>
      </c>
      <c r="N26" s="95" t="inlineStr">
        <is>
          <t>Presence in the most trust-dense local discovery channel available to trades. A neighbour recommendation carries more weight than a Google review from a stranger.</t>
        </is>
      </c>
      <c r="O26" s="95" t="inlineStr">
        <is>
          <t>Apify Nextdoor scraper → presence check</t>
        </is>
      </c>
    </row>
    <row r="27" ht="79.5" customHeight="1" s="92">
      <c r="A27" s="114" t="n">
        <v>26</v>
      </c>
      <c r="B27" s="115" t="inlineStr">
        <is>
          <t>Nextdoor Recommendations</t>
        </is>
      </c>
      <c r="C27" s="115" t="inlineStr">
        <is>
          <t>Nextdoor</t>
        </is>
      </c>
      <c r="D27" s="115" t="n">
        <v>4</v>
      </c>
      <c r="E27" s="116" t="inlineStr">
        <is>
          <t>Growth</t>
        </is>
      </c>
      <c r="F27" s="115" t="inlineStr">
        <is>
          <t>Comparison</t>
        </is>
      </c>
      <c r="G27" s="115" t="inlineStr">
        <is>
          <t>Apify — recommendation count and text</t>
        </is>
      </c>
      <c r="H27" s="117" t="inlineStr">
        <is>
          <t>Yes</t>
        </is>
      </c>
      <c r="I27" s="115" t="inlineStr">
        <is>
          <t>No recommendations on Nextdoor page.</t>
        </is>
      </c>
      <c r="J27" s="115" t="inlineStr">
        <is>
          <t>Fewer than 5 recommendations. Brief and generic.</t>
        </is>
      </c>
      <c r="K27" s="115" t="inlineStr">
        <is>
          <t>5–15 recommendations with some detail — job type, response time, or technician referenced.</t>
        </is>
      </c>
      <c r="L27" s="115" t="inlineStr">
        <is>
          <t>15+ recommendations with consistent velocity. Detailed recommendations referencing specific trade work, reliability, cleanliness, and value. Neighbours tagging the business proactively.</t>
        </is>
      </c>
      <c r="M27" s="115" t="inlineStr">
        <is>
          <t>Nextdoor recommendations are the digital equivalent of a neighbour knocking on the door and saying 'I know a great plumber.' They carry social proof no paid platform can manufacture.</t>
        </is>
      </c>
      <c r="N27" s="115" t="inlineStr">
        <is>
          <t>Converts the highest-trust discovery path into a booked job. Recommendation volume and quality also feed AI authority signals — Nextdoor data is indexed by AI search platforms.</t>
        </is>
      </c>
      <c r="O27" s="115" t="inlineStr">
        <is>
          <t>Apify → recommendation count, recency, text → Claude NLP</t>
        </is>
      </c>
    </row>
    <row r="28" ht="79.5" customHeight="1" s="92">
      <c r="A28" s="118" t="n">
        <v>27</v>
      </c>
      <c r="B28" s="119" t="inlineStr">
        <is>
          <t>Nextdoor Community Visibility</t>
        </is>
      </c>
      <c r="C28" s="119" t="inlineStr">
        <is>
          <t>Nextdoor</t>
        </is>
      </c>
      <c r="D28" s="119" t="n">
        <v>4</v>
      </c>
      <c r="E28" s="120" t="inlineStr">
        <is>
          <t>Growth</t>
        </is>
      </c>
      <c r="F28" s="119" t="inlineStr">
        <is>
          <t>Comparison</t>
        </is>
      </c>
      <c r="G28" s="119" t="inlineStr">
        <is>
          <t>Apify — organic mention monitoring</t>
        </is>
      </c>
      <c r="H28" s="121" t="inlineStr">
        <is>
          <t>Yes</t>
        </is>
      </c>
      <c r="I28" s="119" t="inlineStr">
        <is>
          <t>No organic mentions in any neighbourhood community.</t>
        </is>
      </c>
      <c r="J28" s="119" t="inlineStr">
        <is>
          <t>1–2 isolated mentions in past 90 days. Passive tagging only.</t>
        </is>
      </c>
      <c r="K28" s="119" t="inlineStr">
        <is>
          <t>Regular mentions across at least 2 neighbourhood communities. Named in response to trade requests.</t>
        </is>
      </c>
      <c r="L28" s="119" t="inlineStr">
        <is>
          <t>Dominant organic presence across all communities in protected market. The automatic first recommendation when neighbours ask for the trade. Unprompted mentions feeding branded search volume.</t>
        </is>
      </c>
      <c r="M28" s="119" t="inlineStr">
        <is>
          <t>Organic mentions in community posts are distinct from recommendations on the business page. They represent the contractor being the first name that comes to mind when a neighbour has a problem.</t>
        </is>
      </c>
      <c r="N28" s="119" t="inlineStr">
        <is>
          <t>The highest-quality discovery signal measurable on any platform — unprompted, social, trusted. Contractors who achieve this status are effectively insulated from competitor advertising.</t>
        </is>
      </c>
      <c r="O28" s="119" t="inlineStr">
        <is>
          <t>Apify — contractor name searched across local community posts</t>
        </is>
      </c>
    </row>
    <row r="29" ht="79.5" customHeight="1" s="92">
      <c r="A29" s="102" t="n">
        <v>28</v>
      </c>
      <c r="B29" s="103" t="inlineStr">
        <is>
          <t>HomeStars Presence &amp; Score</t>
        </is>
      </c>
      <c r="C29" s="103" t="inlineStr">
        <is>
          <t>Reviews &amp; Reputation</t>
        </is>
      </c>
      <c r="D29" s="103" t="n">
        <v>5</v>
      </c>
      <c r="E29" s="104" t="inlineStr">
        <is>
          <t>Engagement</t>
        </is>
      </c>
      <c r="F29" s="103" t="inlineStr">
        <is>
          <t>Comparison</t>
        </is>
      </c>
      <c r="G29" s="103" t="inlineStr">
        <is>
          <t>Apify HomeStars scraper</t>
        </is>
      </c>
      <c r="H29" s="105" t="inlineStr">
        <is>
          <t>Yes</t>
        </is>
      </c>
      <c r="I29" s="103" t="inlineStr">
        <is>
          <t>No HomeStars profile. Absent from Canada's primary trades review platform.</t>
        </is>
      </c>
      <c r="J29" s="103" t="inlineStr">
        <is>
          <t>Profile exists but unclaimed. Incomplete. Star Score below 7. Reviews minimal.</t>
        </is>
      </c>
      <c r="K29" s="103" t="inlineStr">
        <is>
          <t>Claimed profile. Core information complete. Star Score 7–8.5. Reviews present and current.</t>
        </is>
      </c>
      <c r="L29" s="103" t="inlineStr">
        <is>
          <t>Fully optimised. Star Score 8.5+. Review volume at tenure benchmark. Consistent velocity. Responds to every review. Project portfolio populated. Best of HomeStars designation where achieved.</t>
        </is>
      </c>
      <c r="M29" s="103" t="inlineStr">
        <is>
          <t>HomeStars is the primary Canadian trades review platform. A contractor absent here is invisible to the segment of homeowners who specifically use HomeStars to find vetted contractors.</t>
        </is>
      </c>
      <c r="N29" s="103" t="inlineStr">
        <is>
          <t>Captures the directory-first searcher — a valuable segment who has already committed to hiring someone and just hasn't decided who. High Star Scores convert this segment at premium rates.</t>
        </is>
      </c>
      <c r="O29" s="103" t="inlineStr">
        <is>
          <t>Apify HomeStars scraper → formula scored</t>
        </is>
      </c>
    </row>
    <row r="30" ht="79.5" customHeight="1" s="92">
      <c r="A30" s="106" t="n">
        <v>29</v>
      </c>
      <c r="B30" s="107" t="inlineStr">
        <is>
          <t>Houzz Presence &amp; Reviews</t>
        </is>
      </c>
      <c r="C30" s="107" t="inlineStr">
        <is>
          <t>Reviews &amp; Reputation</t>
        </is>
      </c>
      <c r="D30" s="107" t="n">
        <v>5</v>
      </c>
      <c r="E30" s="108" t="inlineStr">
        <is>
          <t>Engagement</t>
        </is>
      </c>
      <c r="F30" s="107" t="inlineStr">
        <is>
          <t>Comparison</t>
        </is>
      </c>
      <c r="G30" s="107" t="inlineStr">
        <is>
          <t>Apify Houzz scraper</t>
        </is>
      </c>
      <c r="H30" s="109" t="inlineStr">
        <is>
          <t>Yes</t>
        </is>
      </c>
      <c r="I30" s="107" t="inlineStr">
        <is>
          <t>No Houzz profile.</t>
        </is>
      </c>
      <c r="J30" s="107" t="inlineStr">
        <is>
          <t>Profile exists but unclaimed or minimal. No project portfolio. No reviews.</t>
        </is>
      </c>
      <c r="K30" s="107" t="inlineStr">
        <is>
          <t>Claimed with basic information. Some project photos. A few reviews.</t>
        </is>
      </c>
      <c r="L30" s="107" t="inlineStr">
        <is>
          <t>Fully optimised. Substantial project portfolio with high-quality photos and descriptions. Review volume consistent with benchmark for trade. Houzz badge or recognition achieved.</t>
        </is>
      </c>
      <c r="M30" s="107" t="inlineStr">
        <is>
          <t>Houzz is the primary renovation and remodel discovery platform. Most relevant for plumbing, electrical, and HVAC on new builds and renovations. High-value homeowners use Houzz to find contractors for significant projects.</t>
        </is>
      </c>
      <c r="N30" s="107" t="inlineStr">
        <is>
          <t>Captures the renovation segment — typically higher ticket value and lower price sensitivity than emergency jobs. Trade note: scoring expectations calibrated lower for roofing.</t>
        </is>
      </c>
      <c r="O30" s="107" t="inlineStr">
        <is>
          <t>Apify Houzz scraper → formula scored</t>
        </is>
      </c>
    </row>
    <row r="31" ht="79.5" customHeight="1" s="92">
      <c r="A31" s="102" t="n">
        <v>30</v>
      </c>
      <c r="B31" s="103" t="inlineStr">
        <is>
          <t>Angi Presence &amp; Reviews</t>
        </is>
      </c>
      <c r="C31" s="103" t="inlineStr">
        <is>
          <t>Reviews &amp; Reputation</t>
        </is>
      </c>
      <c r="D31" s="103" t="n">
        <v>5</v>
      </c>
      <c r="E31" s="104" t="inlineStr">
        <is>
          <t>Engagement</t>
        </is>
      </c>
      <c r="F31" s="103" t="inlineStr">
        <is>
          <t>Comparison</t>
        </is>
      </c>
      <c r="G31" s="103" t="inlineStr">
        <is>
          <t>Apify Angi scraper</t>
        </is>
      </c>
      <c r="H31" s="105" t="inlineStr">
        <is>
          <t>Yes</t>
        </is>
      </c>
      <c r="I31" s="103" t="inlineStr">
        <is>
          <t>No Angi profile.</t>
        </is>
      </c>
      <c r="J31" s="103" t="inlineStr">
        <is>
          <t>Profile exists but unclaimed or incomplete. No reviews. Angi certification not pursued.</t>
        </is>
      </c>
      <c r="K31" s="103" t="inlineStr">
        <is>
          <t>Claimed profile. Core information complete. Some reviews. Certification in progress.</t>
        </is>
      </c>
      <c r="L31" s="103" t="inlineStr">
        <is>
          <t>Fully optimised. Angi certified or Super Service Award where applicable. Review volume at benchmark. Consistent velocity. Responds to reviews.</t>
        </is>
      </c>
      <c r="M31" s="103" t="inlineStr">
        <is>
          <t>Angi (formerly HomeAdvisor) is a major leads platform, particularly strong in the US market. The Angi Certified badge is a visible trust signal that homeowners actively look for.</t>
        </is>
      </c>
      <c r="N31" s="103" t="inlineStr">
        <is>
          <t>Captures the Angi-first searcher — a homeowner who uses the platform specifically to find verified contractors. Certified status filters out unverified competitors in results.</t>
        </is>
      </c>
      <c r="O31" s="103" t="inlineStr">
        <is>
          <t>Apify Angi scraper → formula scored</t>
        </is>
      </c>
    </row>
    <row r="32" ht="79.5" customHeight="1" s="92">
      <c r="A32" s="118" t="n">
        <v>31</v>
      </c>
      <c r="B32" s="119" t="inlineStr">
        <is>
          <t>Aggregate Review Footprint</t>
        </is>
      </c>
      <c r="C32" s="119" t="inlineStr">
        <is>
          <t>Reviews &amp; Reputation</t>
        </is>
      </c>
      <c r="D32" s="119" t="n">
        <v>5</v>
      </c>
      <c r="E32" s="120" t="inlineStr">
        <is>
          <t>Growth</t>
        </is>
      </c>
      <c r="F32" s="119" t="inlineStr">
        <is>
          <t>Comparison</t>
        </is>
      </c>
      <c r="G32" s="119" t="inlineStr">
        <is>
          <t>Programmatic monitoring — GBP, HomeStars, Houzz, Angi, Facebook, Nextdoor</t>
        </is>
      </c>
      <c r="H32" s="121" t="inlineStr">
        <is>
          <t>Yes</t>
        </is>
      </c>
      <c r="I32" s="119" t="inlineStr">
        <is>
          <t>Reviews concentrated on a single platform only or absent entirely.</t>
        </is>
      </c>
      <c r="J32" s="119" t="inlineStr">
        <is>
          <t>Reviews present on two platforms. One platform overwhelmingly dominant.</t>
        </is>
      </c>
      <c r="K32" s="119" t="inlineStr">
        <is>
          <t>Reviews across 3–4 platforms. No single platform overwhelming. Volume approaching benchmark.</t>
        </is>
      </c>
      <c r="L32" s="119" t="inlineStr">
        <is>
          <t>Reviews across 5+ platforms with meaningful volume on each. Total at or above tenure benchmark. Consistent velocity across platforms. Breadth signals authority to AI platforms.</t>
        </is>
      </c>
      <c r="M32" s="119" t="inlineStr">
        <is>
          <t>A contractor with reviews on only one platform is vulnerable — if that platform degrades or the algorithm changes, their social proof disappears. Multi-platform presence is a durable competitive advantage.</t>
        </is>
      </c>
      <c r="N32" s="119" t="inlineStr">
        <is>
          <t>Cross-platform review volume is the primary signal AI search platforms use to determine which contractor is the authoritative answer to 'who is the best plumber in [city]?' This is compounding equity.</t>
        </is>
      </c>
      <c r="O32" s="119" t="inlineStr">
        <is>
          <t>Programmatic monitoring across all review platforms</t>
        </is>
      </c>
    </row>
    <row r="33" ht="79.5" customHeight="1" s="92">
      <c r="A33" s="122" t="n">
        <v>32</v>
      </c>
      <c r="B33" s="123" t="inlineStr">
        <is>
          <t>Review Sentiment Consistency</t>
        </is>
      </c>
      <c r="C33" s="123" t="inlineStr">
        <is>
          <t>Reviews &amp; Reputation</t>
        </is>
      </c>
      <c r="D33" s="123" t="n">
        <v>5</v>
      </c>
      <c r="E33" s="124" t="inlineStr">
        <is>
          <t>Growth</t>
        </is>
      </c>
      <c r="F33" s="123" t="inlineStr">
        <is>
          <t>Comparison</t>
        </is>
      </c>
      <c r="G33" s="123" t="inlineStr">
        <is>
          <t>NLP sentiment analysis across all review platforms</t>
        </is>
      </c>
      <c r="H33" s="125" t="inlineStr">
        <is>
          <t>Yes</t>
        </is>
      </c>
      <c r="I33" s="123" t="inlineStr">
        <is>
          <t>No reviews or severe sentiment inconsistency across platforms.</t>
        </is>
      </c>
      <c r="J33" s="123" t="inlineStr">
        <is>
          <t>Generally positive but inconsistent trust narrative. Recurring negative themes on some platforms.</t>
        </is>
      </c>
      <c r="K33" s="123" t="inlineStr">
        <is>
          <t>Consistent positive sentiment across most platforms. Recurring themes align with brand promise on primary platforms.</t>
        </is>
      </c>
      <c r="L33" s="123" t="inlineStr">
        <is>
          <t>Consistent positive sentiment narrative across all platforms. Recurring themes mirror brand promise precisely — competent, reliable, local, personable. Sentiment consistency contributing to AI authority.</t>
        </is>
      </c>
      <c r="M33" s="123" t="inlineStr">
        <is>
          <t>AI search platforms don't just count reviews — they read them. A contractor with 100 reviews saying 'fast, clean, honest' across every platform is surfaced by AI as the authoritative answer in their trade.</t>
        </is>
      </c>
      <c r="N33" s="123" t="inlineStr">
        <is>
          <t>A consistent multi-platform sentiment narrative is the most durable long-term competitive moat available to a trades contractor. It cannot be manufactured quickly and is very hard for competitors to replicate.</t>
        </is>
      </c>
      <c r="O33" s="123" t="inlineStr">
        <is>
          <t>NLP sentiment analysis across all platforms</t>
        </is>
      </c>
    </row>
    <row r="34" ht="79.5" customHeight="1" s="92">
      <c r="A34" s="94" t="n">
        <v>33</v>
      </c>
      <c r="B34" s="95" t="inlineStr">
        <is>
          <t>Tier 1 Trades Directory Presence</t>
        </is>
      </c>
      <c r="C34" s="95" t="inlineStr">
        <is>
          <t>Trades Directory</t>
        </is>
      </c>
      <c r="D34" s="95" t="n">
        <v>6</v>
      </c>
      <c r="E34" s="96" t="inlineStr">
        <is>
          <t>Discovery</t>
        </is>
      </c>
      <c r="F34" s="95" t="inlineStr">
        <is>
          <t>Comparison</t>
        </is>
      </c>
      <c r="G34" s="95" t="inlineStr">
        <is>
          <t>Apify directory scraper</t>
        </is>
      </c>
      <c r="H34" s="97" t="inlineStr">
        <is>
          <t>Yes</t>
        </is>
      </c>
      <c r="I34" s="95" t="inlineStr">
        <is>
          <t>No presence on any Tier 1 trades directory.</t>
        </is>
      </c>
      <c r="J34" s="95" t="inlineStr">
        <is>
          <t>Listed on 1 platform but unclaimed. Profile incomplete.</t>
        </is>
      </c>
      <c r="K34" s="95" t="inlineStr">
        <is>
          <t>Claimed and reasonably complete on 2 Tier 1 directories.</t>
        </is>
      </c>
      <c r="L34" s="95" t="inlineStr">
        <is>
          <t>Fully claimed, complete, and optimised on all relevant Tier 1 directories. Photos, descriptions, and service lists populated. Review velocity maintained.</t>
        </is>
      </c>
      <c r="M34" s="95" t="inlineStr">
        <is>
          <t>HomeAdvisor, Angi Pro, Houzz Pro — these are where homeowners go specifically to find vetted contractors. Being absent misses an entire segment of searchers who will never visit Google.</t>
        </is>
      </c>
      <c r="N34" s="95" t="inlineStr">
        <is>
          <t>Captures the directory-first searcher — a high-value segment who has already committed to hiring and is just choosing who. Full profiles convert this segment at much higher rates than bare listings.</t>
        </is>
      </c>
      <c r="O34" s="95" t="inlineStr">
        <is>
          <t>Apify → existence check + completeness score</t>
        </is>
      </c>
    </row>
    <row r="35" ht="79.5" customHeight="1" s="92">
      <c r="A35" s="98" t="n">
        <v>34</v>
      </c>
      <c r="B35" s="99" t="inlineStr">
        <is>
          <t>Trade Association Directory Presence</t>
        </is>
      </c>
      <c r="C35" s="99" t="inlineStr">
        <is>
          <t>Trades Directory</t>
        </is>
      </c>
      <c r="D35" s="99" t="n">
        <v>6</v>
      </c>
      <c r="E35" s="100" t="inlineStr">
        <is>
          <t>Discovery</t>
        </is>
      </c>
      <c r="F35" s="99" t="inlineStr">
        <is>
          <t>Comparison / Emergency</t>
        </is>
      </c>
      <c r="G35" s="99" t="inlineStr">
        <is>
          <t>Apify association directory scraper</t>
        </is>
      </c>
      <c r="H35" s="101" t="inlineStr">
        <is>
          <t>Yes</t>
        </is>
      </c>
      <c r="I35" s="99" t="inlineStr">
        <is>
          <t>Not a member of any relevant trade association. Not listed in any association directory.</t>
        </is>
      </c>
      <c r="J35" s="99" t="inlineStr">
        <is>
          <t>Member but listing is minimal — name and phone only.</t>
        </is>
      </c>
      <c r="K35" s="99" t="inlineStr">
        <is>
          <t>Listed with core information. Some service detail. Association membership visible on website.</t>
        </is>
      </c>
      <c r="L35" s="99" t="inlineStr">
        <is>
          <t>Full listing on all relevant association directories — HRAI (HVAC), ECRA/ESA (electrical), PHCC (plumbing), CRCA (roofing). Membership prominently displayed on website, GBP, and all directories.</t>
        </is>
      </c>
      <c r="M35" s="99" t="inlineStr">
        <is>
          <t>These are the directories insurance companies, property managers, and informed homeowners use to verify a contractor is licensed, regulated, and accountable. Absence raises a red flag that reviews can't offset.</t>
        </is>
      </c>
      <c r="N35" s="99" t="inlineStr">
        <is>
          <t>Legitimacy that no paid platform can replicate. Association membership is a credibility signal to the highest-value customer segments — property managers, insurance adjusters, and homeowners who've been burned before.</t>
        </is>
      </c>
      <c r="O35" s="99" t="inlineStr">
        <is>
          <t>Apify → association directory scrape per trade type</t>
        </is>
      </c>
    </row>
    <row r="36" ht="79.5" customHeight="1" s="92">
      <c r="A36" s="94" t="n">
        <v>35</v>
      </c>
      <c r="B36" s="95" t="inlineStr">
        <is>
          <t>BBB Accreditation &amp; Rating</t>
        </is>
      </c>
      <c r="C36" s="95" t="inlineStr">
        <is>
          <t>Trades Directory</t>
        </is>
      </c>
      <c r="D36" s="95" t="n">
        <v>6</v>
      </c>
      <c r="E36" s="96" t="inlineStr">
        <is>
          <t>Discovery</t>
        </is>
      </c>
      <c r="F36" s="95" t="inlineStr">
        <is>
          <t>Comparison</t>
        </is>
      </c>
      <c r="G36" s="95" t="inlineStr">
        <is>
          <t>Apify BBB scraper</t>
        </is>
      </c>
      <c r="H36" s="97" t="inlineStr">
        <is>
          <t>Yes</t>
        </is>
      </c>
      <c r="I36" s="95" t="inlineStr">
        <is>
          <t>No BBB listing. Not accredited.</t>
        </is>
      </c>
      <c r="J36" s="95" t="inlineStr">
        <is>
          <t>Listed but not accredited. Rating below A.</t>
        </is>
      </c>
      <c r="K36" s="95" t="inlineStr">
        <is>
          <t>BBB accredited. Rating A or above. No open complaints.</t>
        </is>
      </c>
      <c r="L36" s="95" t="inlineStr">
        <is>
          <t>BBB accredited with A+ rating. Zero complaint history or all complaints resolved. Accreditation displayed on website.</t>
        </is>
      </c>
      <c r="M36" s="95" t="inlineStr">
        <is>
          <t>BBB matters less than a decade ago but remains a specific trust trigger for older homeowners — a demographic making up a significant portion of the trades customer base in Northern Ontario.</t>
        </is>
      </c>
      <c r="N36" s="95" t="inlineStr">
        <is>
          <t>Captures the trust-sensitive demographic segment that uses BBB as a proxy for legitimacy. An avoidable gap that costs some percentage of jobs from a specific valuable customer type.</t>
        </is>
      </c>
      <c r="O36" s="95" t="inlineStr">
        <is>
          <t>Apify BBB scraper → accreditation status + rating</t>
        </is>
      </c>
    </row>
    <row r="37" ht="79.5" customHeight="1" s="92">
      <c r="A37" s="98" t="n">
        <v>36</v>
      </c>
      <c r="B37" s="99" t="inlineStr">
        <is>
          <t>Google Local Services Ad Presence</t>
        </is>
      </c>
      <c r="C37" s="99" t="inlineStr">
        <is>
          <t>Trades Directory</t>
        </is>
      </c>
      <c r="D37" s="99" t="n">
        <v>6</v>
      </c>
      <c r="E37" s="100" t="inlineStr">
        <is>
          <t>Discovery</t>
        </is>
      </c>
      <c r="F37" s="99" t="inlineStr">
        <is>
          <t>Emergency / Active Project</t>
        </is>
      </c>
      <c r="G37" s="99" t="inlineStr">
        <is>
          <t>ValueSERP — LSA detection</t>
        </is>
      </c>
      <c r="H37" s="101" t="inlineStr">
        <is>
          <t>Yes</t>
        </is>
      </c>
      <c r="I37" s="99" t="inlineStr">
        <is>
          <t>No LSA presence. Contractor not verified through Google's LSA process.</t>
        </is>
      </c>
      <c r="J37" s="99" t="inlineStr">
        <is>
          <t>LSA application in progress. Not yet verified or active.</t>
        </is>
      </c>
      <c r="K37" s="99" t="inlineStr">
        <is>
          <t>LSA verified and active for primary trade keywords in primary city.</t>
        </is>
      </c>
      <c r="L37" s="99" t="inlineStr">
        <is>
          <t>Google Guaranteed — verified and actively running LSA ads for all primary trade keywords across the full protected market. Badge prominently displayed in search results above Map Pack and organic.</t>
        </is>
      </c>
      <c r="M37" s="99" t="inlineStr">
        <is>
          <t>LSA ads appear above both the Map Pack and organic results for trades searches. A contractor absent from LSA is losing positions 1, 2, and 3 on the page to verified competitors.</t>
        </is>
      </c>
      <c r="N37" s="99" t="inlineStr">
        <is>
          <t>Captures the top-of-page position for the highest-intent trades searches. Most critical for Emergency intent. The Google Guaranteed badge is the single highest-converting trust signal in search results.</t>
        </is>
      </c>
      <c r="O37" s="99" t="inlineStr">
        <is>
          <t>ValueSERP → LSA presence detection for primary trade keywords</t>
        </is>
      </c>
    </row>
    <row r="38" ht="79.5" customHeight="1" s="92">
      <c r="A38" s="126" t="n">
        <v>37</v>
      </c>
      <c r="B38" s="127" t="inlineStr">
        <is>
          <t>Citation Volume &amp; Consistency</t>
        </is>
      </c>
      <c r="C38" s="127" t="inlineStr">
        <is>
          <t>Citation &amp; NAP</t>
        </is>
      </c>
      <c r="D38" s="127" t="n">
        <v>7</v>
      </c>
      <c r="E38" s="128" t="inlineStr">
        <is>
          <t>Conversion</t>
        </is>
      </c>
      <c r="F38" s="127" t="inlineStr">
        <is>
          <t>Research</t>
        </is>
      </c>
      <c r="G38" s="127" t="inlineStr">
        <is>
          <t>Directory crawl — Firecrawl / Apify</t>
        </is>
      </c>
      <c r="H38" s="129" t="inlineStr">
        <is>
          <t>Yes</t>
        </is>
      </c>
      <c r="I38" s="127" t="inlineStr">
        <is>
          <t>Fewer than 10 citations across all directories. NAP inconsistent.</t>
        </is>
      </c>
      <c r="J38" s="127" t="inlineStr">
        <is>
          <t>10–25 citations. Some inconsistency in name, address, or phone across directories.</t>
        </is>
      </c>
      <c r="K38" s="127" t="inlineStr">
        <is>
          <t>25–50 citations. NAP mostly consistent. Major directories covered.</t>
        </is>
      </c>
      <c r="L38" s="127" t="inlineStr">
        <is>
          <t>50+ citations across all major and trade-specific directories. NAP perfectly consistent. No duplicate listings. All citations claimed and up to date.</t>
        </is>
      </c>
      <c r="M38" s="127" t="inlineStr">
        <is>
          <t>Citation volume and consistency are foundational local SEO signals. Every citation is a vote that this business is real, legitimate, and located where it says it is.</t>
        </is>
      </c>
      <c r="N38" s="127" t="inlineStr">
        <is>
          <t>More consistent citations = higher Map Pack rankings. Inconsistent NAP confuses Google and depresses rankings for every keyword the contractor should be winning.</t>
        </is>
      </c>
      <c r="O38" s="127" t="inlineStr">
        <is>
          <t>Directory crawl — cross-reference name, address, phone across all sources</t>
        </is>
      </c>
    </row>
    <row r="39" ht="79.5" customHeight="1" s="92">
      <c r="A39" s="110" t="n">
        <v>38</v>
      </c>
      <c r="B39" s="111" t="inlineStr">
        <is>
          <t>NAP Consistency Score</t>
        </is>
      </c>
      <c r="C39" s="111" t="inlineStr">
        <is>
          <t>Citation &amp; NAP</t>
        </is>
      </c>
      <c r="D39" s="111" t="n">
        <v>7</v>
      </c>
      <c r="E39" s="112" t="inlineStr">
        <is>
          <t>Conversion</t>
        </is>
      </c>
      <c r="F39" s="111" t="inlineStr">
        <is>
          <t>Research</t>
        </is>
      </c>
      <c r="G39" s="111" t="inlineStr">
        <is>
          <t>Cross-reference — GBP + website + directories</t>
        </is>
      </c>
      <c r="H39" s="113" t="inlineStr">
        <is>
          <t>Yes</t>
        </is>
      </c>
      <c r="I39" s="111" t="inlineStr">
        <is>
          <t>Name, address, or phone inconsistent across 3+ major sources.</t>
        </is>
      </c>
      <c r="J39" s="111" t="inlineStr">
        <is>
          <t>One or two inconsistencies. Minor variations — abbreviated vs full street name.</t>
        </is>
      </c>
      <c r="K39" s="111" t="inlineStr">
        <is>
          <t>NAP consistent across all major sources. 1–2 minor inconsistencies in secondary directories.</t>
        </is>
      </c>
      <c r="L39" s="111" t="inlineStr">
        <is>
          <t>Perfect NAP consistency across every citation, directory, GBP, website, and social profile. Business name, address, and phone identical everywhere. No variations.</t>
        </is>
      </c>
      <c r="M39" s="111" t="inlineStr">
        <is>
          <t>Google uses NAP consistency as a trust signal to confirm a business is legitimate and its information is accurate. Inconsistencies create ranking penalties that no other optimisation can overcome.</t>
        </is>
      </c>
      <c r="N39" s="111" t="inlineStr">
        <is>
          <t>A single point of NAP inconsistency can suppress a contractor's Map Pack ranking for their primary trade keywords. Fixing it is free — ignoring it costs real revenue.</t>
        </is>
      </c>
      <c r="O39" s="111" t="inlineStr">
        <is>
          <t>Cross-reference audit across all discoverable citations</t>
        </is>
      </c>
    </row>
    <row r="40" ht="79.5" customHeight="1" s="92">
      <c r="A40" s="126" t="n">
        <v>39</v>
      </c>
      <c r="B40" s="127" t="inlineStr">
        <is>
          <t>Schema Markup</t>
        </is>
      </c>
      <c r="C40" s="127" t="inlineStr">
        <is>
          <t>Citation &amp; NAP</t>
        </is>
      </c>
      <c r="D40" s="127" t="n">
        <v>7</v>
      </c>
      <c r="E40" s="128" t="inlineStr">
        <is>
          <t>Conversion</t>
        </is>
      </c>
      <c r="F40" s="127" t="inlineStr">
        <is>
          <t>Research</t>
        </is>
      </c>
      <c r="G40" s="127" t="inlineStr">
        <is>
          <t>Website — structured data detection</t>
        </is>
      </c>
      <c r="H40" s="129" t="inlineStr">
        <is>
          <t>Yes</t>
        </is>
      </c>
      <c r="I40" s="127" t="inlineStr">
        <is>
          <t>No schema markup present on website.</t>
        </is>
      </c>
      <c r="J40" s="127" t="inlineStr">
        <is>
          <t>Basic LocalBusiness schema present but incomplete.</t>
        </is>
      </c>
      <c r="K40" s="127" t="inlineStr">
        <is>
          <t>LocalBusiness schema complete. Service schema on key service pages.</t>
        </is>
      </c>
      <c r="L40" s="127" t="inlineStr">
        <is>
          <t>Full LocalBusiness schema with all fields populated. Service schema on every service page. Review schema pulling GBP rating. FAQ schema on FAQ page. All validated via Google Rich Results Test.</t>
        </is>
      </c>
      <c r="M40" s="127" t="inlineStr">
        <is>
          <t>Schema markup is the language that tells search engines and AI platforms exactly what a business does, where it is, what it charges, and what its customers say. Without it, Google infers — often incorrectly.</t>
        </is>
      </c>
      <c r="N40" s="127" t="inlineStr">
        <is>
          <t>Schema-marked businesses surface more prominently in AI-generated answers. FAQ schema feeds directly into AI citations. Review schema amplifies star ratings in search results.</t>
        </is>
      </c>
      <c r="O40" s="127" t="inlineStr">
        <is>
          <t>Website → structured data detection → validation</t>
        </is>
      </c>
    </row>
    <row r="41" ht="79.5" customHeight="1" s="92">
      <c r="A41" s="98" t="n">
        <v>40</v>
      </c>
      <c r="B41" s="99" t="inlineStr">
        <is>
          <t>Seasonal Content Readiness</t>
        </is>
      </c>
      <c r="C41" s="99" t="inlineStr">
        <is>
          <t>Seasonal &amp; Geographic</t>
        </is>
      </c>
      <c r="D41" s="99" t="n">
        <v>8</v>
      </c>
      <c r="E41" s="100" t="inlineStr">
        <is>
          <t>Discovery</t>
        </is>
      </c>
      <c r="F41" s="99" t="inlineStr">
        <is>
          <t>Research / Active Project</t>
        </is>
      </c>
      <c r="G41" s="99" t="inlineStr">
        <is>
          <t>ValueSERP + website content audit</t>
        </is>
      </c>
      <c r="H41" s="101" t="inlineStr">
        <is>
          <t>Yes</t>
        </is>
      </c>
      <c r="I41" s="99" t="inlineStr">
        <is>
          <t>No seasonal content. Website and GBP are static regardless of season.</t>
        </is>
      </c>
      <c r="J41" s="99" t="inlineStr">
        <is>
          <t>Some seasonal mentions but reactive — published after demand peaks.</t>
        </is>
      </c>
      <c r="K41" s="99" t="inlineStr">
        <is>
          <t>Seasonal content visible for 1–2 seasons. Published approximately on time.</t>
        </is>
      </c>
      <c r="L41" s="99" t="inlineStr">
        <is>
          <t>Seasonal content strategy executed 4–6 weeks before each demand peak. Content published, GBP posts live, and LSA adjusted before the spike hits.</t>
        </is>
      </c>
      <c r="M41" s="99" t="inlineStr">
        <is>
          <t>Contractor demand is not flat. Furnace tune-ups spike in September. Pipe thaw calls spike in February. A contractor with content ready before the spike captures it. One who publishes after captures nothing.</t>
        </is>
      </c>
      <c r="N41" s="99" t="inlineStr">
        <is>
          <t>Positions the contractor as visible and relevant at the exact moment demand spikes. Seasonal content readiness is a compounding advantage — indexed before the peak, ranked when it matters.</t>
        </is>
      </c>
      <c r="O41" s="99" t="inlineStr">
        <is>
          <t>ValueSERP → seasonal keyword ranking check + website content audit</t>
        </is>
      </c>
    </row>
    <row r="42" ht="79.5" customHeight="1" s="92">
      <c r="A42" s="126" t="n">
        <v>41</v>
      </c>
      <c r="B42" s="127" t="inlineStr">
        <is>
          <t>Service Area Content Coverage</t>
        </is>
      </c>
      <c r="C42" s="127" t="inlineStr">
        <is>
          <t>Seasonal &amp; Geographic</t>
        </is>
      </c>
      <c r="D42" s="127" t="n">
        <v>8</v>
      </c>
      <c r="E42" s="128" t="inlineStr">
        <is>
          <t>Conversion</t>
        </is>
      </c>
      <c r="F42" s="127" t="inlineStr">
        <is>
          <t>Research / Active Project</t>
        </is>
      </c>
      <c r="G42" s="127" t="inlineStr">
        <is>
          <t>Website content audit + ValueSERP</t>
        </is>
      </c>
      <c r="H42" s="129" t="inlineStr">
        <is>
          <t>Yes</t>
        </is>
      </c>
      <c r="I42" s="127" t="inlineStr">
        <is>
          <t>No service area pages. Content references primary city only.</t>
        </is>
      </c>
      <c r="J42" s="127" t="inlineStr">
        <is>
          <t>Primary city service page only. Surrounding communities not addressed.</t>
        </is>
      </c>
      <c r="K42" s="127" t="inlineStr">
        <is>
          <t>Service area pages exist for 2–3 communities. Basic content. Not fully optimised.</t>
        </is>
      </c>
      <c r="L42" s="127" t="inlineStr">
        <is>
          <t>Fully optimised service area pages for every community in the 100km protected market. Each page unique, locally relevant, and targeting trade keywords specific to that community.</t>
        </is>
      </c>
      <c r="M42" s="127" t="inlineStr">
        <is>
          <t>A contractor visible only in their primary city is leaving the surrounding communities to competitors. Service area content coverage converts protected market exclusivity into actual revenue.</t>
        </is>
      </c>
      <c r="N42" s="127" t="inlineStr">
        <is>
          <t>Turns the 100km protected market radius into search presence. Each community page is a landing page for trade searches from that community. Missing pages are missing revenue.</t>
        </is>
      </c>
      <c r="O42" s="127" t="inlineStr">
        <is>
          <t>Website content audit → community coverage check</t>
        </is>
      </c>
    </row>
    <row r="43" ht="79.5" customHeight="1" s="92">
      <c r="A43" s="110" t="n">
        <v>42</v>
      </c>
      <c r="B43" s="111" t="inlineStr">
        <is>
          <t>Seasonal Offer &amp; Campaign Execution</t>
        </is>
      </c>
      <c r="C43" s="111" t="inlineStr">
        <is>
          <t>Seasonal &amp; Geographic</t>
        </is>
      </c>
      <c r="D43" s="111" t="n">
        <v>8</v>
      </c>
      <c r="E43" s="112" t="inlineStr">
        <is>
          <t>Conversion</t>
        </is>
      </c>
      <c r="F43" s="111" t="inlineStr">
        <is>
          <t>Active Project</t>
        </is>
      </c>
      <c r="G43" s="111" t="inlineStr">
        <is>
          <t>Website + GBP + Facebook — content timing audit</t>
        </is>
      </c>
      <c r="H43" s="113" t="inlineStr">
        <is>
          <t>Yes</t>
        </is>
      </c>
      <c r="I43" s="111" t="inlineStr">
        <is>
          <t>No seasonal offers or campaigns. Business makes no effort to capitalise on seasonal demand.</t>
        </is>
      </c>
      <c r="J43" s="111" t="inlineStr">
        <is>
          <t>1–2 seasonal offers in last 12 months. Reactive — launched at or after demand peak.</t>
        </is>
      </c>
      <c r="K43" s="111" t="inlineStr">
        <is>
          <t>3–4 seasonal campaigns per year. Launched approximately on time. Promoted on at least 2 channels.</t>
        </is>
      </c>
      <c r="L43" s="111" t="inlineStr">
        <is>
          <t>Full seasonal campaign calendar executed 4–6 weeks before each demand peak. Coordinated across website, GBP posts, Facebook, and LSA. Offers specific and compelling. Results tracked.</t>
        </is>
      </c>
      <c r="M43" s="111" t="inlineStr">
        <is>
          <t>Seasonal demand peaks are predictable and repeating. A contractor with a campaign live before the spike converts at a multiple of the conversion rate of one who isn't visible until demand has already peaked.</t>
        </is>
      </c>
      <c r="N43" s="111" t="inlineStr">
        <is>
          <t>Coordinates all content channels to maximise capture of the predictable demand spike. Well-executed seasonal campaigns are the highest-ROI content investment available to a trades contractor.</t>
        </is>
      </c>
      <c r="O43" s="111" t="inlineStr">
        <is>
          <t>Multi-channel timing audit — website + GBP + Facebook + LSA</t>
        </is>
      </c>
    </row>
    <row r="44" ht="79.5" customHeight="1" s="92">
      <c r="A44" s="94" t="n">
        <v>43</v>
      </c>
      <c r="B44" s="95" t="inlineStr">
        <is>
          <t>Geographic Search Visibility</t>
        </is>
      </c>
      <c r="C44" s="95" t="inlineStr">
        <is>
          <t>Seasonal &amp; Geographic</t>
        </is>
      </c>
      <c r="D44" s="95" t="n">
        <v>8</v>
      </c>
      <c r="E44" s="96" t="inlineStr">
        <is>
          <t>Discovery</t>
        </is>
      </c>
      <c r="F44" s="95" t="inlineStr">
        <is>
          <t>Research / Emergency</t>
        </is>
      </c>
      <c r="G44" s="95" t="inlineStr">
        <is>
          <t>ValueSERP — Map Pack position across all protected market communities</t>
        </is>
      </c>
      <c r="H44" s="97" t="inlineStr">
        <is>
          <t>Yes</t>
        </is>
      </c>
      <c r="I44" s="95" t="inlineStr">
        <is>
          <t>Contractor visible only in primary city. No Map Pack presence in surrounding communities.</t>
        </is>
      </c>
      <c r="J44" s="95" t="inlineStr">
        <is>
          <t>Map Pack presence in primary city. 1–2 surrounding communities only.</t>
        </is>
      </c>
      <c r="K44" s="95" t="inlineStr">
        <is>
          <t>Map Pack presence in primary city and half of surrounding communities.</t>
        </is>
      </c>
      <c r="L44" s="95" t="inlineStr">
        <is>
          <t>Map Pack presence in top 3 for primary trade keywords across all communities in the 100km protected market. Dominant geographic visibility matching the protected market boundary.</t>
        </is>
      </c>
      <c r="M44" s="95" t="inlineStr">
        <is>
          <t>The licensed market is 100km. A contractor visible only in their primary city has paid for exclusivity they're not using. Geographic search visibility quantifies the gap.</t>
        </is>
      </c>
      <c r="N44" s="95" t="inlineStr">
        <is>
          <t>Turns protected market exclusivity into actual search revenue. Each community where the contractor ranks top-3 is a community where competitors cannot easily out-advertise them.</t>
        </is>
      </c>
      <c r="O44" s="95" t="inlineStr">
        <is>
          <t>ValueSERP → Map Pack position for primary trade keywords × all protected market communities</t>
        </is>
      </c>
    </row>
    <row r="45" ht="79.5" customHeight="1" s="92">
      <c r="A45" s="110" t="n">
        <v>44</v>
      </c>
      <c r="B45" s="111" t="inlineStr">
        <is>
          <t>Video Content Production</t>
        </is>
      </c>
      <c r="C45" s="111" t="inlineStr">
        <is>
          <t>Video</t>
        </is>
      </c>
      <c r="D45" s="111" t="n">
        <v>9</v>
      </c>
      <c r="E45" s="112" t="inlineStr">
        <is>
          <t>Conversion</t>
        </is>
      </c>
      <c r="F45" s="111" t="inlineStr">
        <is>
          <t>Research / Comparison</t>
        </is>
      </c>
      <c r="G45" s="111" t="inlineStr">
        <is>
          <t>YouTube Data API + website + Apify Facebook</t>
        </is>
      </c>
      <c r="H45" s="113" t="inlineStr">
        <is>
          <t>Yes</t>
        </is>
      </c>
      <c r="I45" s="111" t="inlineStr">
        <is>
          <t>No video content on any platform.</t>
        </is>
      </c>
      <c r="J45" s="111" t="inlineStr">
        <is>
          <t>1–2 videos. Low production quality. No strategy.</t>
        </is>
      </c>
      <c r="K45" s="111" t="inlineStr">
        <is>
          <t>5–10 videos across at least 2 platforms. Mix of project work and educational content.</t>
        </is>
      </c>
      <c r="L45" s="111" t="inlineStr">
        <is>
          <t>Regular video production — weekly minimum. Mix of short-form (reels/shorts) and long-form (project reveals, how-to guides). Published across YouTube and Facebook simultaneously.</t>
        </is>
      </c>
      <c r="M45" s="111" t="inlineStr">
        <is>
          <t>Video is the fastest-growing discovery and trust format for trades. A 60-second before/after reel demonstrates competence in a way that no amount of text or photos can match.</t>
        </is>
      </c>
      <c r="N45" s="111" t="inlineStr">
        <is>
          <t>Highest organic reach format on both Facebook and YouTube. Trades video content attracts Research-intent viewers who are planning projects — the highest-value, least price-sensitive customer segment.</t>
        </is>
      </c>
      <c r="O45" s="111" t="inlineStr">
        <is>
          <t>YouTube Data API + Apify Facebook → video count, recency</t>
        </is>
      </c>
    </row>
    <row r="46" ht="79.5" customHeight="1" s="92">
      <c r="A46" s="126" t="n">
        <v>45</v>
      </c>
      <c r="B46" s="127" t="inlineStr">
        <is>
          <t>YouTube Channel Presence</t>
        </is>
      </c>
      <c r="C46" s="127" t="inlineStr">
        <is>
          <t>Video</t>
        </is>
      </c>
      <c r="D46" s="127" t="n">
        <v>9</v>
      </c>
      <c r="E46" s="128" t="inlineStr">
        <is>
          <t>Conversion</t>
        </is>
      </c>
      <c r="F46" s="127" t="inlineStr">
        <is>
          <t>Research</t>
        </is>
      </c>
      <c r="G46" s="127" t="inlineStr">
        <is>
          <t>YouTube Data API v3</t>
        </is>
      </c>
      <c r="H46" s="129" t="inlineStr">
        <is>
          <t>Yes</t>
        </is>
      </c>
      <c r="I46" s="127" t="inlineStr">
        <is>
          <t>No YouTube channel.</t>
        </is>
      </c>
      <c r="J46" s="127" t="inlineStr">
        <is>
          <t>Channel exists but inactive — last upload 6+ months ago. Fewer than 10 videos.</t>
        </is>
      </c>
      <c r="K46" s="127" t="inlineStr">
        <is>
          <t>Active channel. 10–25 videos. Updated in last 90 days. Subscriber count growing.</t>
        </is>
      </c>
      <c r="L46" s="127" t="inlineStr">
        <is>
          <t>Active channel with 25+ videos. Regular upload cadence — weekly or bi-weekly. Mix of educational, project, and community content. Optimised titles, descriptions, and tags. Subscriber growth consistent.</t>
        </is>
      </c>
      <c r="M46" s="127" t="inlineStr">
        <is>
          <t>YouTube is the second largest search engine. Homeowners researching 'how much does a furnace replacement cost' or 'what causes low water pressure' will find contractors with YouTube channels before they find those without.</t>
        </is>
      </c>
      <c r="N46" s="127" t="inlineStr">
        <is>
          <t>YouTube authority feeds AI citation readiness. Videos rank in Google search results directly. A YouTube channel is long-form content that builds search authority across hundreds of trade keywords simultaneously.</t>
        </is>
      </c>
      <c r="O46" s="127" t="inlineStr">
        <is>
          <t>YouTube Data API v3 → channel stats, video count, upload frequency</t>
        </is>
      </c>
    </row>
    <row r="47" ht="79.5" customHeight="1" s="92">
      <c r="A47" s="122" t="n">
        <v>46</v>
      </c>
      <c r="B47" s="123" t="inlineStr">
        <is>
          <t>Video Content Quality &amp; Strategy</t>
        </is>
      </c>
      <c r="C47" s="123" t="inlineStr">
        <is>
          <t>Video</t>
        </is>
      </c>
      <c r="D47" s="123" t="n">
        <v>9</v>
      </c>
      <c r="E47" s="124" t="inlineStr">
        <is>
          <t>Growth</t>
        </is>
      </c>
      <c r="F47" s="123" t="inlineStr">
        <is>
          <t>Research</t>
        </is>
      </c>
      <c r="G47" s="123" t="inlineStr">
        <is>
          <t>YouTube Data API + Claude NLP on video titles/descriptions</t>
        </is>
      </c>
      <c r="H47" s="125" t="inlineStr">
        <is>
          <t>Yes</t>
        </is>
      </c>
      <c r="I47" s="123" t="inlineStr">
        <is>
          <t>Video content is random and unstrategic. No connection between videos and business goals.</t>
        </is>
      </c>
      <c r="J47" s="123" t="inlineStr">
        <is>
          <t>Content is project-based only. No educational angle. Titles generic. No series or themes.</t>
        </is>
      </c>
      <c r="K47" s="123" t="inlineStr">
        <is>
          <t>Content mix beginning to emerge — some educational, some project reveals. Titles include trade keywords. Some seasonal relevance.</t>
        </is>
      </c>
      <c r="L47" s="123" t="inlineStr">
        <is>
          <t>Deliberate content strategy. Educational series targeting homeowner questions. Project reveals building credibility. Seasonal content timed to demand peaks. Titles and descriptions optimised for search. Thumbnails consistent and branded.</t>
        </is>
      </c>
      <c r="M47" s="123" t="inlineStr">
        <is>
          <t>Video content quality determines whether the channel builds a sustainable audience or is ignored. Trade videos that answer real homeowner questions rank in search, get shared, and position the contractor as the local authority.</t>
        </is>
      </c>
      <c r="N47" s="123" t="inlineStr">
        <is>
          <t>Video quality compounds — a well-produced educational video ranking for 'how to know if your furnace needs replacing' generates Research-intent leads for years. This is the highest-leverage long-form content investment.</t>
        </is>
      </c>
      <c r="O47" s="123" t="inlineStr">
        <is>
          <t>YouTube Data API → titles, descriptions → Claude NLP strategy assessment</t>
        </is>
      </c>
    </row>
    <row r="48" ht="79.5" customHeight="1" s="92">
      <c r="A48" s="118" t="n">
        <v>47</v>
      </c>
      <c r="B48" s="119" t="inlineStr">
        <is>
          <t>Video Platform Cross-Posting</t>
        </is>
      </c>
      <c r="C48" s="119" t="inlineStr">
        <is>
          <t>Video</t>
        </is>
      </c>
      <c r="D48" s="119" t="n">
        <v>9</v>
      </c>
      <c r="E48" s="120" t="inlineStr">
        <is>
          <t>Growth</t>
        </is>
      </c>
      <c r="F48" s="119" t="inlineStr">
        <is>
          <t>Research</t>
        </is>
      </c>
      <c r="G48" s="119" t="inlineStr">
        <is>
          <t>YouTube Data API + Apify Facebook → content match</t>
        </is>
      </c>
      <c r="H48" s="121" t="inlineStr">
        <is>
          <t>Yes</t>
        </is>
      </c>
      <c r="I48" s="119" t="inlineStr">
        <is>
          <t>Video produced for one platform only. No cross-posting.</t>
        </is>
      </c>
      <c r="J48" s="119" t="inlineStr">
        <is>
          <t>Occasional cross-posting. No systematic approach.</t>
        </is>
      </c>
      <c r="K48" s="119" t="inlineStr">
        <is>
          <t>Videos cross-posted to at least 2 platforms consistently.</t>
        </is>
      </c>
      <c r="L48" s="119" t="inlineStr">
        <is>
          <t>All video content systematically cross-posted — YouTube → Facebook Reels → GBP posts → website embeds. Each platform optimised (captions for Facebook, chapters for YouTube, thumbnail for GBP).</t>
        </is>
      </c>
      <c r="M48" s="119" t="inlineStr">
        <is>
          <t>Producing a video and publishing it on only one platform means producing the same content multiple times to reach different audiences. Cross-posting multiplies reach from a single production investment.</t>
        </is>
      </c>
      <c r="N48" s="119" t="inlineStr">
        <is>
          <t>Each cross-post is an additional signal to both Google and AI platforms that this contractor is active, authoritative, and multi-platform. Video cross-posting is the highest-efficiency content amplification strategy available.</t>
        </is>
      </c>
      <c r="O48" s="119" t="inlineStr">
        <is>
          <t>YouTube Data API + Apify Facebook → matching video content detection</t>
        </is>
      </c>
    </row>
    <row r="49" ht="79.5" customHeight="1" s="92">
      <c r="A49" s="122" t="n">
        <v>48</v>
      </c>
      <c r="B49" s="123" t="inlineStr">
        <is>
          <t>AI Authority — ChatGPT/Gemini/Perplexity</t>
        </is>
      </c>
      <c r="C49" s="123" t="inlineStr">
        <is>
          <t>AI Authority</t>
        </is>
      </c>
      <c r="D49" s="123" t="n">
        <v>10</v>
      </c>
      <c r="E49" s="124" t="inlineStr">
        <is>
          <t>Growth</t>
        </is>
      </c>
      <c r="F49" s="123" t="inlineStr">
        <is>
          <t>Research</t>
        </is>
      </c>
      <c r="G49" s="123" t="inlineStr">
        <is>
          <t>Live API queries — ChatGPT, Gemini, Perplexity APIs</t>
        </is>
      </c>
      <c r="H49" s="125" t="inlineStr">
        <is>
          <t>Yes</t>
        </is>
      </c>
      <c r="I49" s="123" t="inlineStr">
        <is>
          <t>Not mentioned in any AI platform response for any trade or location query.</t>
        </is>
      </c>
      <c r="J49" s="123" t="inlineStr">
        <is>
          <t>Mentioned in AI response for branded queries (business name) only.</t>
        </is>
      </c>
      <c r="K49" s="123" t="inlineStr">
        <is>
          <t>Mentioned in AI response for trade + location queries on at least 1 platform.</t>
        </is>
      </c>
      <c r="L49" s="123" t="inlineStr">
        <is>
          <t>Consistently surfaces across ChatGPT, Gemini, and Perplexity for multiple trade + location query variations. Mentioned by name, with specifics about what makes them a recommended choice.</t>
        </is>
      </c>
      <c r="M49" s="123" t="inlineStr">
        <is>
          <t>AI search is the fastest-growing discovery channel for trades in 2026. When a homeowner asks ChatGPT 'who is the best plumber in Timmins?' and the contractor doesn't appear, they are invisible to a growing segment of searchers.</t>
        </is>
      </c>
      <c r="N49" s="123" t="inlineStr">
        <is>
          <t>AI authority is the compounding equity of everything else — reviews, schema, FAQ, video, Nextdoor, cross-platform presence. It cannot be purchased directly. It must be earned through the sum of all other signals.</t>
        </is>
      </c>
      <c r="O49" s="123" t="inlineStr">
        <is>
          <t>Live queries to ChatGPT API, Gemini API, Perplexity API — contractor name parsed from responses</t>
        </is>
      </c>
    </row>
    <row r="50" ht="79.5" customHeight="1" s="92">
      <c r="A50" s="118" t="n">
        <v>49</v>
      </c>
      <c r="B50" s="119" t="inlineStr">
        <is>
          <t>AI Citation Readiness</t>
        </is>
      </c>
      <c r="C50" s="119" t="inlineStr">
        <is>
          <t>AI Authority</t>
        </is>
      </c>
      <c r="D50" s="119" t="n">
        <v>10</v>
      </c>
      <c r="E50" s="120" t="inlineStr">
        <is>
          <t>Growth</t>
        </is>
      </c>
      <c r="F50" s="119" t="inlineStr">
        <is>
          <t>Research</t>
        </is>
      </c>
      <c r="G50" s="119" t="inlineStr">
        <is>
          <t>Website + GBP + schema audit — Claude</t>
        </is>
      </c>
      <c r="H50" s="121" t="inlineStr">
        <is>
          <t>Yes</t>
        </is>
      </c>
      <c r="I50" s="119" t="inlineStr">
        <is>
          <t>Content not structured for AI citation. No schema. No FAQ. No structured Q&amp;A.</t>
        </is>
      </c>
      <c r="J50" s="119" t="inlineStr">
        <is>
          <t>Basic structure present. Some schema. FAQ exists but thin.</t>
        </is>
      </c>
      <c r="K50" s="119" t="inlineStr">
        <is>
          <t>Solid FAQ, schema markup, and Q&amp;A content present. Beginning to appear in AI-generated answers.</t>
        </is>
      </c>
      <c r="L50" s="119" t="inlineStr">
        <is>
          <t>Content fully structured for AI citation — comprehensive FAQ, complete schema, GBP Q&amp;A seeded, educational blog content targeting high-intent questions. AI platforms have abundant, structured, authoritative content to cite.</t>
        </is>
      </c>
      <c r="M50" s="119" t="inlineStr">
        <is>
          <t>AI platforms prefer to cite content that is structured, specific, and authoritative. A contractor whose website has comprehensive schema, FAQ, and Q&amp;A is far more likely to be cited than one whose content is thin and unstructured.</t>
        </is>
      </c>
      <c r="N50" s="119" t="inlineStr">
        <is>
          <t>AI citation readiness is the proactive investment that produces AI authority passively over time. Every structured answer added to a website is an opportunity for an AI platform to cite this contractor in a future response.</t>
        </is>
      </c>
      <c r="O50" s="119" t="inlineStr">
        <is>
          <t>Website + GBP Q&amp;A + schema audit → Claude NLP assessment</t>
        </is>
      </c>
    </row>
    <row r="51" ht="79.5" customHeight="1" s="92">
      <c r="A51" s="122" t="n">
        <v>50</v>
      </c>
      <c r="B51" s="123" t="inlineStr">
        <is>
          <t>AI Share of Voice</t>
        </is>
      </c>
      <c r="C51" s="123" t="inlineStr">
        <is>
          <t>AI Authority</t>
        </is>
      </c>
      <c r="D51" s="123" t="n">
        <v>10</v>
      </c>
      <c r="E51" s="124" t="inlineStr">
        <is>
          <t>Growth</t>
        </is>
      </c>
      <c r="F51" s="123" t="inlineStr">
        <is>
          <t>Research / Comparison</t>
        </is>
      </c>
      <c r="G51" s="123" t="inlineStr">
        <is>
          <t>Live API queries across trade + location keyword matrix</t>
        </is>
      </c>
      <c r="H51" s="125" t="inlineStr">
        <is>
          <t>Yes</t>
        </is>
      </c>
      <c r="I51" s="123" t="inlineStr">
        <is>
          <t>Competitor contractors mentioned in all AI responses. This contractor never appears.</t>
        </is>
      </c>
      <c r="J51" s="123" t="inlineStr">
        <is>
          <t>This contractor appears in some AI responses. Competitors mentioned more frequently.</t>
        </is>
      </c>
      <c r="K51" s="123" t="inlineStr">
        <is>
          <t>Mentioned in AI responses as frequently as leading competitors.</t>
        </is>
      </c>
      <c r="L51" s="123" t="inlineStr">
        <is>
          <t>Dominant AI share of voice — mentioned first or exclusively in AI responses for primary trade + location query combinations. Competitors cited less frequently or not at all.</t>
        </is>
      </c>
      <c r="M51" s="123" t="inlineStr">
        <is>
          <t>AI share of voice is the measure of competitive dominance in the fastest-growing search channel. A contractor who is always the first recommendation when a homeowner asks AI 'who should I call?' has an insurmountable advantage over one who never appears.</t>
        </is>
      </c>
      <c r="N51" s="123" t="inlineStr">
        <is>
          <t>AI share of voice is the leading indicator of where search market share will be in 12–24 months. Contractors who build it now, before AI search becomes dominant, will be extraordinarily difficult to displace.</t>
        </is>
      </c>
      <c r="O51" s="123" t="inlineStr">
        <is>
          <t>Live API queries — contractor vs competitors — share of mention analysis</t>
        </is>
      </c>
    </row>
    <row r="52" ht="79.5" customHeight="1" s="92">
      <c r="A52" s="118" t="n">
        <v>51</v>
      </c>
      <c r="B52" s="119" t="inlineStr">
        <is>
          <t>Search Share of Voice</t>
        </is>
      </c>
      <c r="C52" s="119" t="inlineStr">
        <is>
          <t>Share of Voice</t>
        </is>
      </c>
      <c r="D52" s="119" t="n">
        <v>11</v>
      </c>
      <c r="E52" s="120" t="inlineStr">
        <is>
          <t>Growth</t>
        </is>
      </c>
      <c r="F52" s="119" t="inlineStr">
        <is>
          <t>Research / Emergency</t>
        </is>
      </c>
      <c r="G52" s="119" t="inlineStr">
        <is>
          <t>ValueSERP — organic + Map Pack across keyword matrix</t>
        </is>
      </c>
      <c r="H52" s="121" t="inlineStr">
        <is>
          <t>Yes</t>
        </is>
      </c>
      <c r="I52" s="119" t="inlineStr">
        <is>
          <t>Contractor ranked outside top 10 for primary trade keywords in primary city.</t>
        </is>
      </c>
      <c r="J52" s="119" t="inlineStr">
        <is>
          <t>Ranking in top 10 for some primary keywords. Map Pack inconsistent. Competitors dominate.</t>
        </is>
      </c>
      <c r="K52" s="119" t="inlineStr">
        <is>
          <t>Ranking top 5 for most primary keywords. Map Pack top 3 for primary city.</t>
        </is>
      </c>
      <c r="L52" s="119" t="inlineStr">
        <is>
          <t>Dominant search share of voice — top 3 organic and Map Pack position 1 for all primary trade keywords across the full protected market. Competitors cannot displace without significant sustained effort.</t>
        </is>
      </c>
      <c r="M52" s="119" t="inlineStr">
        <is>
          <t>Search share of voice is the sum of all SEO and GBP investments made over time. A contractor who dominates search for their trade keywords in their market is generating a continuous flow of high-intent inbound leads at zero marginal cost.</t>
        </is>
      </c>
      <c r="N52" s="119" t="inlineStr">
        <is>
          <t>Search share of voice is the most valuable and defensible competitive position in local trades. It compounds — the higher the ranking, the more clicks, the more reviews, the higher the ranking.</t>
        </is>
      </c>
      <c r="O52" s="119" t="inlineStr">
        <is>
          <t>ValueSERP → rank tracking across primary trade keywords × protected market communities</t>
        </is>
      </c>
    </row>
    <row r="53" ht="79.5" customHeight="1" s="92">
      <c r="A53" s="122" t="n">
        <v>52</v>
      </c>
      <c r="B53" s="123" t="inlineStr">
        <is>
          <t>Social Share of Voice</t>
        </is>
      </c>
      <c r="C53" s="123" t="inlineStr">
        <is>
          <t>Share of Voice</t>
        </is>
      </c>
      <c r="D53" s="123" t="n">
        <v>11</v>
      </c>
      <c r="E53" s="124" t="inlineStr">
        <is>
          <t>Growth</t>
        </is>
      </c>
      <c r="F53" s="123" t="inlineStr">
        <is>
          <t>Research / Comparison</t>
        </is>
      </c>
      <c r="G53" s="123" t="inlineStr">
        <is>
          <t>Apify — Facebook + Nextdoor mention monitoring vs competitors</t>
        </is>
      </c>
      <c r="H53" s="125" t="inlineStr">
        <is>
          <t>Yes</t>
        </is>
      </c>
      <c r="I53" s="123" t="inlineStr">
        <is>
          <t>Competitors mentioned in community groups. This contractor never mentioned.</t>
        </is>
      </c>
      <c r="J53" s="123" t="inlineStr">
        <is>
          <t>Occasionally mentioned. Competitors dominate social recommendations.</t>
        </is>
      </c>
      <c r="K53" s="123" t="inlineStr">
        <is>
          <t>Mentioned as frequently as leading competitors in community conversations.</t>
        </is>
      </c>
      <c r="L53" s="123" t="inlineStr">
        <is>
          <t>Dominant social share of voice — first recommendation in community groups, most mentioned contractor in neighbourhood conversations, highest engagement on trade-relevant posts.</t>
        </is>
      </c>
      <c r="M53" s="123" t="inlineStr">
        <is>
          <t>Social share of voice is the measure of community dominance — whose name comes up first when a neighbour asks 'who should I call?' This cannot be bought. It is earned through presence, quality, and community engagement over time.</t>
        </is>
      </c>
      <c r="N53" s="123" t="inlineStr">
        <is>
          <t>Social share of voice converts community trust into a durable referral advantage. A contractor who is always the first name that comes to mind in community conversations is generating warm, high-conversion leads continuously.</t>
        </is>
      </c>
      <c r="O53" s="123" t="inlineStr">
        <is>
          <t>Apify → contractor vs competitor mention frequency in local Facebook groups and Nextdoor</t>
        </is>
      </c>
    </row>
    <row r="54" ht="79.5" customHeight="1" s="92">
      <c r="A54" s="118" t="n">
        <v>53</v>
      </c>
      <c r="B54" s="119" t="inlineStr">
        <is>
          <t>Competitor Ad &amp; LSA Pressure</t>
        </is>
      </c>
      <c r="C54" s="119" t="inlineStr">
        <is>
          <t>Share of Voice</t>
        </is>
      </c>
      <c r="D54" s="119" t="n">
        <v>11</v>
      </c>
      <c r="E54" s="120" t="inlineStr">
        <is>
          <t>Growth</t>
        </is>
      </c>
      <c r="F54" s="119" t="inlineStr">
        <is>
          <t>Emergency / Active Project</t>
        </is>
      </c>
      <c r="G54" s="119" t="inlineStr">
        <is>
          <t>ValueSERP — competitor ad and LSA monitoring</t>
        </is>
      </c>
      <c r="H54" s="121" t="inlineStr">
        <is>
          <t>Yes</t>
        </is>
      </c>
      <c r="I54" s="119" t="inlineStr">
        <is>
          <t>Multiple competitors running aggressive LSA and paid ad campaigns for primary trade keywords.</t>
        </is>
      </c>
      <c r="J54" s="119" t="inlineStr">
        <is>
          <t>2–3 competitors active in LSA or paid ads. Significant top-of-page pressure.</t>
        </is>
      </c>
      <c r="K54" s="119" t="inlineStr">
        <is>
          <t>1–2 competitors in LSA. Some paid activity. This contractor's organic and Map Pack positions mitigate pressure.</t>
        </is>
      </c>
      <c r="L54" s="119" t="inlineStr">
        <is>
          <t>This contractor holds LSA top position and dominant Map Pack and organic positions. Competitor paid activity cannot displace top-of-page presence. Branded search volume insulates against paid competitor pressure.</t>
        </is>
      </c>
      <c r="M54" s="119" t="inlineStr">
        <is>
          <t>Understanding competitor paid and LSA pressure is essential for correctly interpreting a contractor's search share of voice. A contractor ranking second in a market with zero competitor LSA is in a different position than one ranking second against three Google Guaranteed competitors.</t>
        </is>
      </c>
      <c r="N54" s="119" t="inlineStr">
        <is>
          <t>Competitor pressure context makes the gap report actionable — a contractor under heavy LSA pressure needs a different roadmap (own LSA verification first) than one in a low-competition market.</t>
        </is>
      </c>
      <c r="O54" s="119" t="inlineStr">
        <is>
          <t>ValueSERP → competitor LSA and ad presence for primary trade keywords</t>
        </is>
      </c>
    </row>
    <row r="55" ht="79.5" customHeight="1" s="92">
      <c r="A55" s="122" t="n">
        <v>54</v>
      </c>
      <c r="B55" s="123" t="inlineStr">
        <is>
          <t>Branded Search Presence</t>
        </is>
      </c>
      <c r="C55" s="123" t="inlineStr">
        <is>
          <t>Share of Voice</t>
        </is>
      </c>
      <c r="D55" s="123" t="n">
        <v>11</v>
      </c>
      <c r="E55" s="124" t="inlineStr">
        <is>
          <t>Growth</t>
        </is>
      </c>
      <c r="F55" s="123" t="inlineStr">
        <is>
          <t>Comparison</t>
        </is>
      </c>
      <c r="G55" s="123" t="inlineStr">
        <is>
          <t>ValueSERP — branded keyword rank check</t>
        </is>
      </c>
      <c r="H55" s="125" t="inlineStr">
        <is>
          <t>Yes</t>
        </is>
      </c>
      <c r="I55" s="123" t="inlineStr">
        <is>
          <t>Searching the contractor's own business name produces no clear result or surfaces competitors.</t>
        </is>
      </c>
      <c r="J55" s="123" t="inlineStr">
        <is>
          <t>Business name search produces the website result only. GBP not appearing for branded search.</t>
        </is>
      </c>
      <c r="K55" s="123" t="inlineStr">
        <is>
          <t>Business name search produces website + GBP. Some branded search volume measurable.</t>
        </is>
      </c>
      <c r="L55" s="123" t="inlineStr">
        <is>
          <t>Strong branded search presence — business name search produces GBP, website, multiple directory listings, and social profiles. Branded search volume growing consistently. No competitor ads appearing on branded terms.</t>
        </is>
      </c>
      <c r="M55" s="123" t="inlineStr">
        <is>
          <t>Branded search volume is the digital measure of word-of-mouth. A contractor whose satisfied customers tell their neighbours generates branded searches — people searching the business name directly rather than the trade + city combination.</t>
        </is>
      </c>
      <c r="N55" s="123" t="inlineStr">
        <is>
          <t>Branded search presence is the ultimate lagging indicator of reputation. It cannot be manufactured. It is the compounding result of every satisfied customer, community interaction, and piece of content produced. Growing branded search = growing organic, defensible market share.</t>
        </is>
      </c>
      <c r="O55" s="123" t="inlineStr">
        <is>
          <t>ValueSERP → branded keyword rank + search volume estimation</t>
        </is>
      </c>
    </row>
    <row r="56" ht="79.5" customHeight="1" s="92">
      <c r="A56" s="126" t="n">
        <v>55</v>
      </c>
      <c r="B56" s="127" t="inlineStr">
        <is>
          <t>Click-to-Call Above the Fold</t>
        </is>
      </c>
      <c r="C56" s="127" t="inlineStr">
        <is>
          <t>Contact Friction</t>
        </is>
      </c>
      <c r="D56" s="127" t="n">
        <v>12</v>
      </c>
      <c r="E56" s="128" t="inlineStr">
        <is>
          <t>Conversion</t>
        </is>
      </c>
      <c r="F56" s="127" t="inlineStr">
        <is>
          <t>Emergency</t>
        </is>
      </c>
      <c r="G56" s="127" t="inlineStr">
        <is>
          <t>Website — mobile UX audit</t>
        </is>
      </c>
      <c r="H56" s="129" t="inlineStr">
        <is>
          <t>Yes</t>
        </is>
      </c>
      <c r="I56" s="127" t="inlineStr">
        <is>
          <t>No click-to-call button. Phone number not visible above the fold on mobile.</t>
        </is>
      </c>
      <c r="J56" s="127" t="inlineStr">
        <is>
          <t>Phone number visible but not click-to-call enabled. Requires scrolling on mobile.</t>
        </is>
      </c>
      <c r="K56" s="127" t="inlineStr">
        <is>
          <t>Click-to-call button present above the fold on mobile. Functional. Standard design.</t>
        </is>
      </c>
      <c r="L56" s="127" t="inlineStr">
        <is>
          <t>Click-to-call button prominent, high-contrast, and persistent (sticky header on mobile). Available on every page. Number formatted for tap-to-call. Emergency-specific CTA visible — 'Call Now — 24/7 Emergency Service'.</t>
        </is>
      </c>
      <c r="M56" s="127" t="inlineStr">
        <is>
          <t>A homeowner with a burst pipe in January is on their phone. If they can't tap to call within 3 seconds of landing on the website, they're calling the next contractor. Click-to-call friction is a direct revenue leak.</t>
        </is>
      </c>
      <c r="N56" s="127" t="inlineStr">
        <is>
          <t>Eliminates the highest-friction moment in the emergency conversion path. Every second of friction between 'I need help now' and 'I'm talking to someone' costs a job. This is the single highest-ROI UX fix available.</t>
        </is>
      </c>
      <c r="O56" s="127" t="inlineStr">
        <is>
          <t>Direct fetch → mobile rendering audit → Claude</t>
        </is>
      </c>
    </row>
    <row r="57" ht="79.5" customHeight="1" s="92">
      <c r="A57" s="110" t="n">
        <v>56</v>
      </c>
      <c r="B57" s="111" t="inlineStr">
        <is>
          <t>Emergency Pathway Clarity</t>
        </is>
      </c>
      <c r="C57" s="111" t="inlineStr">
        <is>
          <t>Contact Friction</t>
        </is>
      </c>
      <c r="D57" s="111" t="n">
        <v>12</v>
      </c>
      <c r="E57" s="112" t="inlineStr">
        <is>
          <t>Conversion</t>
        </is>
      </c>
      <c r="F57" s="111" t="inlineStr">
        <is>
          <t>Emergency</t>
        </is>
      </c>
      <c r="G57" s="111" t="inlineStr">
        <is>
          <t>Website — NLP + UX audit</t>
        </is>
      </c>
      <c r="H57" s="113" t="inlineStr">
        <is>
          <t>Yes</t>
        </is>
      </c>
      <c r="I57" s="111" t="inlineStr">
        <is>
          <t>No emergency content. No indication of 24/7 availability. Homepage treats all visitors the same.</t>
        </is>
      </c>
      <c r="J57" s="111" t="inlineStr">
        <is>
          <t>Emergency availability mentioned but buried. No dedicated emergency page or CTA.</t>
        </is>
      </c>
      <c r="K57" s="111" t="inlineStr">
        <is>
          <t>Emergency availability visible on homepage. Basic emergency page exists.</t>
        </is>
      </c>
      <c r="L57" s="111" t="inlineStr">
        <is>
          <t>Clear emergency pathway from every entry point — homepage banner, GBP, Facebook, and directory profiles all communicate 24/7 availability. Emergency page answers all urgent questions. Response time committed.</t>
        </is>
      </c>
      <c r="M57" s="111" t="inlineStr">
        <is>
          <t>Emergency intent visitors are worth multiple times the revenue of non-emergency visitors — they need help now and are not price shopping. A website that doesn't immediately signal emergency availability loses this segment entirely.</t>
        </is>
      </c>
      <c r="N57" s="111" t="inlineStr">
        <is>
          <t>Captures the highest-value intent segment. Emergency calls booked convert at near-100% rates. The emergency pathway is the highest-revenue single element of any trades website.</t>
        </is>
      </c>
      <c r="O57" s="111" t="inlineStr">
        <is>
          <t>Direct fetch → Claude NLP emergency content detection</t>
        </is>
      </c>
    </row>
    <row r="58" ht="79.5" customHeight="1" s="92">
      <c r="A58" s="126" t="n">
        <v>57</v>
      </c>
      <c r="B58" s="127" t="inlineStr">
        <is>
          <t>Quote/Booking Friction</t>
        </is>
      </c>
      <c r="C58" s="127" t="inlineStr">
        <is>
          <t>Contact Friction</t>
        </is>
      </c>
      <c r="D58" s="127" t="n">
        <v>12</v>
      </c>
      <c r="E58" s="128" t="inlineStr">
        <is>
          <t>Conversion</t>
        </is>
      </c>
      <c r="F58" s="127" t="inlineStr">
        <is>
          <t>Active Project</t>
        </is>
      </c>
      <c r="G58" s="127" t="inlineStr">
        <is>
          <t>Website + GBP + Facebook — CTA audit</t>
        </is>
      </c>
      <c r="H58" s="129" t="inlineStr">
        <is>
          <t>Yes</t>
        </is>
      </c>
      <c r="I58" s="127" t="inlineStr">
        <is>
          <t>No online quote or booking capability. Phone-only contact. No form.</t>
        </is>
      </c>
      <c r="J58" s="127" t="inlineStr">
        <is>
          <t>Basic contact form exists. No online booking. Form asks for too much information.</t>
        </is>
      </c>
      <c r="K58" s="127" t="inlineStr">
        <is>
          <t>Quote request form present. Reasonably simple. Response time stated.</t>
        </is>
      </c>
      <c r="L58" s="127" t="inlineStr">
        <is>
          <t>Frictionless quote or booking path — form under 4 fields, response time committed to, integrated with calendar booking, confirmation sent immediately. Available on website, GBP, and Facebook.</t>
        </is>
      </c>
      <c r="M58" s="127" t="inlineStr">
        <is>
          <t>Active Project intent visitors are comparing 3–5 contractors. The one who makes it easiest to request a quote without committing to a call gets the first appointment — and first appointments convert at significantly higher rates.</t>
        </is>
      </c>
      <c r="N58" s="127" t="inlineStr">
        <is>
          <t>Reducing quote request friction is the conversion optimisation with the highest impact for non-emergency jobs. Every unnecessary form field is a drop in conversion rate.</t>
        </is>
      </c>
      <c r="O58" s="127" t="inlineStr">
        <is>
          <t>Website + GBP + Facebook → CTA audit → Claude</t>
        </is>
      </c>
    </row>
    <row r="59" ht="79.5" customHeight="1" s="92">
      <c r="A59" s="110" t="n">
        <v>58</v>
      </c>
      <c r="B59" s="111" t="inlineStr">
        <is>
          <t>After-Hours Availability Signal</t>
        </is>
      </c>
      <c r="C59" s="111" t="inlineStr">
        <is>
          <t>Contact Friction</t>
        </is>
      </c>
      <c r="D59" s="111" t="n">
        <v>12</v>
      </c>
      <c r="E59" s="112" t="inlineStr">
        <is>
          <t>Conversion</t>
        </is>
      </c>
      <c r="F59" s="111" t="inlineStr">
        <is>
          <t>Emergency</t>
        </is>
      </c>
      <c r="G59" s="111" t="inlineStr">
        <is>
          <t>Website + GBP + Facebook — availability audit</t>
        </is>
      </c>
      <c r="H59" s="113" t="inlineStr">
        <is>
          <t>Yes</t>
        </is>
      </c>
      <c r="I59" s="111" t="inlineStr">
        <is>
          <t>No after-hours availability indicated. Business appears to operate 9–5 only.</t>
        </is>
      </c>
      <c r="J59" s="111" t="inlineStr">
        <is>
          <t>After-hours mentioned vaguely — 'we try to accommodate urgent calls.' No commitment.</t>
        </is>
      </c>
      <c r="K59" s="111" t="inlineStr">
        <is>
          <t>After-hours availability stated. Emergency contact method specified.</t>
        </is>
      </c>
      <c r="L59" s="111" t="inlineStr">
        <is>
          <t>After-hours availability clearly communicated with specific hours, contact method, and response time commitment. Integrated into GBP hours (mark as open 24 hours where true). Emergency line distinct from main number where applicable.</t>
        </is>
      </c>
      <c r="M59" s="111" t="inlineStr">
        <is>
          <t>A significant portion of trades emergencies happen outside business hours — burst pipes on Sunday evenings, furnace failures on statutory holidays. A contractor who communicates after-hours availability captures this segment. One who doesn't loses it to a competitor who does.</t>
        </is>
      </c>
      <c r="N59" s="111" t="inlineStr">
        <is>
          <t>After-hours availability is a clear competitive differentiator in most markets. Communicating it clearly converts emergency visitors who would otherwise assume the contractor isn't available.</t>
        </is>
      </c>
      <c r="O59" s="111" t="inlineStr">
        <is>
          <t>Website + GBP hours + Facebook → Claude audit</t>
        </is>
      </c>
    </row>
    <row r="60" ht="79.5" customHeight="1" s="92">
      <c r="A60" s="126" t="n">
        <v>59</v>
      </c>
      <c r="B60" s="127" t="inlineStr">
        <is>
          <t>Response Time Commitment</t>
        </is>
      </c>
      <c r="C60" s="127" t="inlineStr">
        <is>
          <t>Contact Friction</t>
        </is>
      </c>
      <c r="D60" s="127" t="n">
        <v>12</v>
      </c>
      <c r="E60" s="128" t="inlineStr">
        <is>
          <t>Conversion</t>
        </is>
      </c>
      <c r="F60" s="127" t="inlineStr">
        <is>
          <t>Emergency / Active Project</t>
        </is>
      </c>
      <c r="G60" s="127" t="inlineStr">
        <is>
          <t>Website + GBP + Facebook — commitment detection</t>
        </is>
      </c>
      <c r="H60" s="129" t="inlineStr">
        <is>
          <t>Yes</t>
        </is>
      </c>
      <c r="I60" s="127" t="inlineStr">
        <is>
          <t>No response time commitment anywhere. Visitor has no idea when to expect a callback.</t>
        </is>
      </c>
      <c r="J60" s="127" t="inlineStr">
        <is>
          <t>Vague commitment — 'we'll get back to you soon.' No specific timeframe.</t>
        </is>
      </c>
      <c r="K60" s="127" t="inlineStr">
        <is>
          <t>Response time stated — 'within 2 hours during business hours.' Some specificity.</t>
        </is>
      </c>
      <c r="L60" s="127" t="inlineStr">
        <is>
          <t>Specific, accountable response time commitment prominently displayed — 'Emergency calls answered within 15 minutes. Quote requests responded to within 2 hours.' Commitment consistent across all platforms. Backed by A2P tracking.</t>
        </is>
      </c>
      <c r="M60" s="127" t="inlineStr">
        <is>
          <t>Uncertainty about when someone will call back is the second most common reason homeowners contact multiple contractors simultaneously. A contractor who commits to a specific response time and keeps it earns the job before the competition arrives.</t>
        </is>
      </c>
      <c r="N60" s="127" t="inlineStr">
        <is>
          <t>A specific, kept response time commitment is the single most effective trust-building mechanism available in the Active Project conversion path. It is also a powerful differentiator — most competitors make no commitment at all.</t>
        </is>
      </c>
      <c r="O60" s="127" t="inlineStr">
        <is>
          <t>Website + GBP + Facebook → Claude commitment detection</t>
        </is>
      </c>
    </row>
    <row r="61" ht="79.5" customHeight="1" s="92">
      <c r="A61" s="110" t="n">
        <v>60</v>
      </c>
      <c r="B61" s="111" t="inlineStr">
        <is>
          <t>Mobile Experience Quality</t>
        </is>
      </c>
      <c r="C61" s="111" t="inlineStr">
        <is>
          <t>Contact Friction</t>
        </is>
      </c>
      <c r="D61" s="111" t="n">
        <v>12</v>
      </c>
      <c r="E61" s="112" t="inlineStr">
        <is>
          <t>Conversion</t>
        </is>
      </c>
      <c r="F61" s="111" t="inlineStr">
        <is>
          <t>Emergency</t>
        </is>
      </c>
      <c r="G61" s="111" t="inlineStr">
        <is>
          <t>PageSpeed Insights API + Claude mobile audit</t>
        </is>
      </c>
      <c r="H61" s="113" t="inlineStr">
        <is>
          <t>Yes</t>
        </is>
      </c>
      <c r="I61" s="111" t="inlineStr">
        <is>
          <t>Website fails on mobile — broken layout, unreadable text, non-functional forms.</t>
        </is>
      </c>
      <c r="J61" s="111" t="inlineStr">
        <is>
          <t>Mobile-accessible but poor experience. Slow load time (5+ seconds). Small tap targets.</t>
        </is>
      </c>
      <c r="K61" s="111" t="inlineStr">
        <is>
          <t>Functional mobile experience. Loads in under 4 seconds. Core conversion paths work.</t>
        </is>
      </c>
      <c r="L61" s="111" t="inlineStr">
        <is>
          <t>Excellent mobile experience. Loads in under 2 seconds. All conversion paths optimised for touch. Click-to-call persistent. Forms thumb-friendly. No horizontal scrolling. Google Core Web Vitals passing.</t>
        </is>
      </c>
      <c r="M61" s="111" t="inlineStr">
        <is>
          <t>Over 70% of emergency trades searches happen on mobile. A website that is slow or broken on mobile loses the majority of its highest-value visitors before they see a single piece of content.</t>
        </is>
      </c>
      <c r="N61" s="111" t="inlineStr">
        <is>
          <t>Mobile experience quality is the foundation of every conversion. All other website signals operate at a fraction of their potential if the mobile experience is poor. This is the first fix, not the last.</t>
        </is>
      </c>
      <c r="O61" s="111" t="inlineStr">
        <is>
          <t>PageSpeed Insights API → mobile score + CLS, LCP, FID metrics</t>
        </is>
      </c>
    </row>
    <row r="62" ht="79.5" customHeight="1" s="92">
      <c r="A62" s="130" t="n">
        <v>61</v>
      </c>
      <c r="B62" s="131" t="inlineStr">
        <is>
          <t>Inbound Inquiry Volume &amp; Trajectory</t>
        </is>
      </c>
      <c r="C62" s="131" t="inlineStr">
        <is>
          <t>A2P Content Intelligence</t>
        </is>
      </c>
      <c r="D62" s="131" t="n">
        <v>13</v>
      </c>
      <c r="E62" s="132" t="inlineStr">
        <is>
          <t>Engagement</t>
        </is>
      </c>
      <c r="F62" s="131" t="inlineStr">
        <is>
          <t>All buckets</t>
        </is>
      </c>
      <c r="G62" s="131" t="inlineStr">
        <is>
          <t>A2P platform — aggregated inbound inquiry count</t>
        </is>
      </c>
      <c r="H62" s="133" t="inlineStr">
        <is>
          <t>No</t>
        </is>
      </c>
      <c r="I62" s="131" t="inlineStr">
        <is>
          <t>No measurable inbound inquiry volume through any digital touchpoint.</t>
        </is>
      </c>
      <c r="J62" s="131" t="inlineStr">
        <is>
          <t>Sporadic and unpredictable. Significantly below tenure/market benchmark. Single touchpoint only.</t>
        </is>
      </c>
      <c r="K62" s="131" t="inlineStr">
        <is>
          <t>Moderate and consistent. Approaching benchmark. Seasonal patterns beginning to emerge.</t>
        </is>
      </c>
      <c r="L62" s="131" t="inlineStr">
        <is>
          <t>Strong inquiry volume at or above tenure/market benchmark. Consistent and growing. Full seasonal pattern mapped. Multiple channels contributing. Inquiry data feeding content calendar directly.</t>
        </is>
      </c>
      <c r="M62" s="131" t="inlineStr">
        <is>
          <t>Inquiry volume is the ultimate measure of whether all other signals are working. A contractor can score well on every content signal and still have a broken conversion path somewhere in the funnel.</t>
        </is>
      </c>
      <c r="N62" s="131" t="inlineStr">
        <is>
          <t>Identifies the gap between digital presence quality and actual revenue generation. Low inquiry volume with high content scores indicates a conversion or attribution problem, not a content problem.</t>
        </is>
      </c>
      <c r="O62" s="131" t="inlineStr">
        <is>
          <t>A2P platform — live data. Licensed clients only. Not in gap score.</t>
        </is>
      </c>
    </row>
    <row r="63" ht="79.5" customHeight="1" s="92">
      <c r="A63" s="134" t="n">
        <v>62</v>
      </c>
      <c r="B63" s="135" t="inlineStr">
        <is>
          <t>Inquiry Channel Diversity</t>
        </is>
      </c>
      <c r="C63" s="135" t="inlineStr">
        <is>
          <t>A2P Content Intelligence</t>
        </is>
      </c>
      <c r="D63" s="135" t="n">
        <v>13</v>
      </c>
      <c r="E63" s="136" t="inlineStr">
        <is>
          <t>Engagement</t>
        </is>
      </c>
      <c r="F63" s="135" t="inlineStr">
        <is>
          <t>All buckets</t>
        </is>
      </c>
      <c r="G63" s="135" t="inlineStr">
        <is>
          <t>A2P platform — channel breakdown</t>
        </is>
      </c>
      <c r="H63" s="137" t="inlineStr">
        <is>
          <t>No</t>
        </is>
      </c>
      <c r="I63" s="135" t="inlineStr">
        <is>
          <t>All inquiries from single channel only. Total channel concentration risk.</t>
        </is>
      </c>
      <c r="J63" s="135" t="inlineStr">
        <is>
          <t>Two channels contributing. One dominates overwhelmingly.</t>
        </is>
      </c>
      <c r="K63" s="135" t="inlineStr">
        <is>
          <t>3–4 channels actively generating inquiries. No single channel overwhelming.</t>
        </is>
      </c>
      <c r="L63" s="135" t="inlineStr">
        <is>
          <t>Full channel diversity across all A2P touchpoints. Channel mix reflects intent distribution — Emergency via phone/SMS, Active Project via form/chat, Comparison via social message, Research via content engagement.</t>
        </is>
      </c>
      <c r="M63" s="135" t="inlineStr">
        <is>
          <t>A contractor relying on a single channel for all inquiries is one algorithm change or platform change away from a revenue crisis. Channel diversity is business continuity planning.</t>
        </is>
      </c>
      <c r="N63" s="135" t="inlineStr">
        <is>
          <t>Identifies over-reliance on a single channel before it becomes a crisis. Diverse inquiry channels also provide rich attribution data for content investment decisions.</t>
        </is>
      </c>
      <c r="O63" s="135" t="inlineStr">
        <is>
          <t>A2P platform — live data. Licensed clients only. Not in gap score.</t>
        </is>
      </c>
    </row>
    <row r="64" ht="79.5" customHeight="1" s="92">
      <c r="A64" s="130" t="n">
        <v>63</v>
      </c>
      <c r="B64" s="131" t="inlineStr">
        <is>
          <t>Anonymous Web Visit Behaviour</t>
        </is>
      </c>
      <c r="C64" s="131" t="inlineStr">
        <is>
          <t>A2P Content Intelligence</t>
        </is>
      </c>
      <c r="D64" s="131" t="n">
        <v>13</v>
      </c>
      <c r="E64" s="132" t="inlineStr">
        <is>
          <t>Discovery</t>
        </is>
      </c>
      <c r="F64" s="131" t="inlineStr">
        <is>
          <t>All buckets</t>
        </is>
      </c>
      <c r="G64" s="131" t="inlineStr">
        <is>
          <t>A2P platform — anonymous visit tracking</t>
        </is>
      </c>
      <c r="H64" s="133" t="inlineStr">
        <is>
          <t>No</t>
        </is>
      </c>
      <c r="I64" s="131" t="inlineStr">
        <is>
          <t>No anonymous web visit data. No tracking or negligible traffic.</t>
        </is>
      </c>
      <c r="J64" s="131" t="inlineStr">
        <is>
          <t>Fewer than 50 unique visits/month in protected market. High bounce rate.</t>
        </is>
      </c>
      <c r="K64" s="131" t="inlineStr">
        <is>
          <t>50–200 unique visits/month. Some multi-page behaviour. Key service pages receiving traffic.</t>
        </is>
      </c>
      <c r="L64" s="131" t="inlineStr">
        <is>
          <t>200+ unique visits/month. Strong multi-page behaviour. Intent bucket classification operational. Return visit detection identifying warm prospects. Exit page analysis driving content improvements.</t>
        </is>
      </c>
      <c r="M64" s="131" t="inlineStr">
        <is>
          <t>Anonymous web visits represent the top of the funnel — visitors who haven't yet made contact. Understanding their behaviour reveals which content is working and which is causing abandonment before contact.</t>
        </is>
      </c>
      <c r="N64" s="131" t="inlineStr">
        <is>
          <t>Enables proactive content strategy based on actual visitor behaviour rather than assumptions. Return visit detection identifies warm prospects who can be targeted with relevant follow-up content.</t>
        </is>
      </c>
      <c r="O64" s="131" t="inlineStr">
        <is>
          <t>A2P platform — live data. Licensed clients only. Not in gap score.</t>
        </is>
      </c>
    </row>
    <row r="65" ht="79.5" customHeight="1" s="92">
      <c r="A65" s="134" t="n">
        <v>64</v>
      </c>
      <c r="B65" s="135" t="inlineStr">
        <is>
          <t>Inquiry to Conversion Rate</t>
        </is>
      </c>
      <c r="C65" s="135" t="inlineStr">
        <is>
          <t>A2P Content Intelligence</t>
        </is>
      </c>
      <c r="D65" s="135" t="n">
        <v>13</v>
      </c>
      <c r="E65" s="136" t="inlineStr">
        <is>
          <t>Conversion</t>
        </is>
      </c>
      <c r="F65" s="135" t="inlineStr">
        <is>
          <t>All buckets</t>
        </is>
      </c>
      <c r="G65" s="135" t="inlineStr">
        <is>
          <t>A2P platform — inquiry outcome tracking</t>
        </is>
      </c>
      <c r="H65" s="137" t="inlineStr">
        <is>
          <t>No</t>
        </is>
      </c>
      <c r="I65" s="135" t="inlineStr">
        <is>
          <t>Conversion rate below 30% or untracked. Most inquiries not converting to booked jobs.</t>
        </is>
      </c>
      <c r="J65" s="135" t="inlineStr">
        <is>
          <t>Conversion rate 30–50%. Some drop-off in follow-up. Cause unidentified.</t>
        </is>
      </c>
      <c r="K65" s="135" t="inlineStr">
        <is>
          <t>Conversion rate 50–70%. Drop-off identifiable by channel or intent bucket.</t>
        </is>
      </c>
      <c r="L65" s="135" t="inlineStr">
        <is>
          <t>Conversion rate 70%+. Full attribution by channel and intent bucket. Drop-off points identified and addressed. Content adjustments driven by conversion data.</t>
        </is>
      </c>
      <c r="M65" s="135" t="inlineStr">
        <is>
          <t>A contractor with a 50% conversion rate is losing one in two inquiries they've already paid to acquire. Understanding where the drop-off happens is more valuable than generating more inquiries at the same conversion rate.</t>
        </is>
      </c>
      <c r="N65" s="135" t="inlineStr">
        <is>
          <t>Identifies revenue leaks after acquisition — the highest-ROI optimisation available because it operates on demand already generated. A 10% improvement in conversion rate has the same revenue impact as a 10% increase in inquiry volume at zero additional acquisition cost.</t>
        </is>
      </c>
      <c r="O65" s="135" t="inlineStr">
        <is>
          <t>A2P platform — live data. Licensed clients only. Not in gap score.</t>
        </is>
      </c>
    </row>
    <row r="66" ht="79.5" customHeight="1" s="92">
      <c r="A66" s="130" t="n">
        <v>65</v>
      </c>
      <c r="B66" s="131" t="inlineStr">
        <is>
          <t>Intent Bucket Distribution</t>
        </is>
      </c>
      <c r="C66" s="131" t="inlineStr">
        <is>
          <t>A2P Content Intelligence</t>
        </is>
      </c>
      <c r="D66" s="131" t="n">
        <v>13</v>
      </c>
      <c r="E66" s="132" t="inlineStr">
        <is>
          <t>Engagement</t>
        </is>
      </c>
      <c r="F66" s="131" t="inlineStr">
        <is>
          <t>All buckets</t>
        </is>
      </c>
      <c r="G66" s="131" t="inlineStr">
        <is>
          <t>A2P platform — intent classification</t>
        </is>
      </c>
      <c r="H66" s="133" t="inlineStr">
        <is>
          <t>No</t>
        </is>
      </c>
      <c r="I66" s="131" t="inlineStr">
        <is>
          <t>No intent bucket classification. Same message to every visitor regardless of intent.</t>
        </is>
      </c>
      <c r="J66" s="131" t="inlineStr">
        <is>
          <t>Emergency intent distinguishable. Active Project, Comparison, and Research not reliably classified.</t>
        </is>
      </c>
      <c r="K66" s="131" t="inlineStr">
        <is>
          <t>Three of four intent buckets reliably classified. Automation serving differentiated content to 2 buckets.</t>
        </is>
      </c>
      <c r="L66" s="131" t="inlineStr">
        <is>
          <t>Full four-bucket intent classification across all A2P touchpoints. Distribution cross-referenced with gap score — if 40% of traffic is Emergency-intent and Emergency signals are weak, gap report surfaces this as highest priority.</t>
        </is>
      </c>
      <c r="M66" s="131" t="inlineStr">
        <is>
          <t>Not all inquiries are equal. An Emergency-intent visitor is worth 3× a Research-intent visitor in immediate revenue. Understanding intent distribution informs where to invest content improvement effort first.</t>
        </is>
      </c>
      <c r="N66" s="131" t="inlineStr">
        <is>
          <t>Connects content signal scores to actual revenue impact. A contractor whose traffic is 60% Emergency-intent and whose Emergency signals score 1 out of 3 has an immediately quantifiable revenue gap — and a clear first action.</t>
        </is>
      </c>
      <c r="O66" s="131" t="inlineStr">
        <is>
          <t>A2P platform — live data. Licensed clients only. Not in gap score.</t>
        </is>
      </c>
    </row>
    <row r="67" ht="79.5" customHeight="1" s="92">
      <c r="A67" s="134" t="n">
        <v>66</v>
      </c>
      <c r="B67" s="135" t="inlineStr">
        <is>
          <t>Call Tracking Attribution</t>
        </is>
      </c>
      <c r="C67" s="135" t="inlineStr">
        <is>
          <t>A2P Content Intelligence</t>
        </is>
      </c>
      <c r="D67" s="135" t="n">
        <v>13</v>
      </c>
      <c r="E67" s="136" t="inlineStr">
        <is>
          <t>Growth</t>
        </is>
      </c>
      <c r="F67" s="135" t="inlineStr">
        <is>
          <t>Active Project</t>
        </is>
      </c>
      <c r="G67" s="135" t="inlineStr">
        <is>
          <t>A2P platform — call tracking and campaign attribution</t>
        </is>
      </c>
      <c r="H67" s="137" t="inlineStr">
        <is>
          <t>No</t>
        </is>
      </c>
      <c r="I67" s="135" t="inlineStr">
        <is>
          <t>No call tracking. Inbound calls unattributed. No visibility into what is driving calls.</t>
        </is>
      </c>
      <c r="J67" s="135" t="inlineStr">
        <is>
          <t>Basic call tracking on primary number. Source attribution limited to direct vs referral.</t>
        </is>
      </c>
      <c r="K67" s="135" t="inlineStr">
        <is>
          <t>Call tracking across primary number and at least one campaign channel. Some content attribution.</t>
        </is>
      </c>
      <c r="L67" s="135" t="inlineStr">
        <is>
          <t>Full call tracking attribution across all channels and campaigns. Every inbound call source identified. Campaign-level attribution confirming which spend is producing calls at what cost per call. Seasonal attribution patterns mapped.</t>
        </is>
      </c>
      <c r="M67" s="135" t="inlineStr">
        <is>
          <t>A contractor spending $2,000/month on Google Ads with no call tracking has no idea whether that spend is generating calls or being wasted. Call attribution is the foundation of any rational marketing investment decision.</t>
        </is>
      </c>
      <c r="N67" s="135" t="inlineStr">
        <is>
          <t>Identifies which channels and content pieces are generating actual booked jobs, not just website traffic. The difference between a channel generating 50 calls and one generating 5 calls at the same cost is a massive reallocation opportunity.</t>
        </is>
      </c>
      <c r="O67" s="135" t="inlineStr">
        <is>
          <t>A2P platform — live data. Licensed clients only. Not in gap score.</t>
        </is>
      </c>
    </row>
    <row r="68" ht="79.5" customHeight="1" s="92">
      <c r="A68" s="130" t="n">
        <v>67</v>
      </c>
      <c r="B68" s="131" t="inlineStr">
        <is>
          <t>Realtor &amp; Real Estate Network</t>
        </is>
      </c>
      <c r="C68" s="131" t="inlineStr">
        <is>
          <t>Referral Network</t>
        </is>
      </c>
      <c r="D68" s="131" t="n">
        <v>14</v>
      </c>
      <c r="E68" s="132" t="inlineStr">
        <is>
          <t>Growth</t>
        </is>
      </c>
      <c r="F68" s="131" t="inlineStr">
        <is>
          <t>Active Project</t>
        </is>
      </c>
      <c r="G68" s="131" t="inlineStr">
        <is>
          <t>Self-reported (Meeting 1) + realtor website monitoring</t>
        </is>
      </c>
      <c r="H68" s="133" t="inlineStr">
        <is>
          <t>No</t>
        </is>
      </c>
      <c r="I68" s="131" t="inlineStr">
        <is>
          <t>No relationship with any realtor or real estate professional in protected market.</t>
        </is>
      </c>
      <c r="J68" s="131" t="inlineStr">
        <is>
          <t>1–2 informal relationships. No systematic referral process. Pre-sale and move-in work arriving by chance.</t>
        </is>
      </c>
      <c r="K68" s="131" t="inlineStr">
        <is>
          <t>3–5 active referral relationships with realtors. Contractor is known to the local real estate community.</t>
        </is>
      </c>
      <c r="L68" s="131" t="inlineStr">
        <is>
          <t>Established referral network with 10+ active realtor relationships. Featured on realtor websites. Preferred contractor list inclusions. Pre-sale repair and buyer move-in work arriving consistently through the network.</t>
        </is>
      </c>
      <c r="M68" s="131" t="inlineStr">
        <is>
          <t>Realtors are the highest-volume single referral source available to a trades contractor. Every property transaction generates potential repair and renovation work. A contractor embedded in the local real estate community captures this flow systematically.</t>
        </is>
      </c>
      <c r="N68" s="131" t="inlineStr">
        <is>
          <t>Realtor referrals are the highest-conversion, most price-insensitive inquiry type available. A homeowner referred by their realtor has already committed to the transaction and needs the work done. Speed and professionalism, not price, determines who gets the job.</t>
        </is>
      </c>
      <c r="O68" s="131" t="inlineStr">
        <is>
          <t>Self-reported intake + realtor website monitoring + A2P source attribution</t>
        </is>
      </c>
    </row>
    <row r="69" ht="79.5" customHeight="1" s="92">
      <c r="A69" s="134" t="n">
        <v>68</v>
      </c>
      <c r="B69" s="135" t="inlineStr">
        <is>
          <t>Property Manager Network</t>
        </is>
      </c>
      <c r="C69" s="135" t="inlineStr">
        <is>
          <t>Referral Network</t>
        </is>
      </c>
      <c r="D69" s="135" t="n">
        <v>14</v>
      </c>
      <c r="E69" s="136" t="inlineStr">
        <is>
          <t>Growth</t>
        </is>
      </c>
      <c r="F69" s="135" t="inlineStr">
        <is>
          <t>Active Project</t>
        </is>
      </c>
      <c r="G69" s="135" t="inlineStr">
        <is>
          <t>Self-reported (Meeting 1) + property management directory monitoring</t>
        </is>
      </c>
      <c r="H69" s="137" t="inlineStr">
        <is>
          <t>No</t>
        </is>
      </c>
      <c r="I69" s="135" t="inlineStr">
        <is>
          <t>No relationship with any property manager in the protected market.</t>
        </is>
      </c>
      <c r="J69" s="135" t="inlineStr">
        <is>
          <t>1–2 informal relationships. No preferred contractor status. Work arriving sporadically.</t>
        </is>
      </c>
      <c r="K69" s="135" t="inlineStr">
        <is>
          <t>3–5 property management companies with active referral relationship. Some preferred contractor status.</t>
        </is>
      </c>
      <c r="L69" s="135" t="inlineStr">
        <is>
          <t>Preferred contractor status with 10+ property management companies. On-call relationship for emergency and routine maintenance. Consistent volume of work from managed properties across the protected market.</t>
        </is>
      </c>
      <c r="M69" s="135" t="inlineStr">
        <is>
          <t>Property managers control a predictable, recurring maintenance and repair budget across multiple properties. A single preferred contractor relationship with a property management company can represent dozens of jobs per year.</t>
        </is>
      </c>
      <c r="N69" s="135" t="inlineStr">
        <is>
          <t>Property management referrals are high-volume, repeat, and recession-resistant. A contractor with preferred status across multiple property managers has a base of predictable revenue that is independent of digital search performance.</t>
        </is>
      </c>
      <c r="O69" s="135" t="inlineStr">
        <is>
          <t>Self-reported intake + property management directory + A2P source attribution</t>
        </is>
      </c>
    </row>
    <row r="70" ht="79.5" customHeight="1" s="92">
      <c r="A70" s="130" t="n">
        <v>69</v>
      </c>
      <c r="B70" s="131" t="inlineStr">
        <is>
          <t>Insurance Adjuster &amp; Restoration Network</t>
        </is>
      </c>
      <c r="C70" s="131" t="inlineStr">
        <is>
          <t>Referral Network</t>
        </is>
      </c>
      <c r="D70" s="131" t="n">
        <v>14</v>
      </c>
      <c r="E70" s="132" t="inlineStr">
        <is>
          <t>Growth</t>
        </is>
      </c>
      <c r="F70" s="131" t="inlineStr">
        <is>
          <t>Emergency</t>
        </is>
      </c>
      <c r="G70" s="131" t="inlineStr">
        <is>
          <t>Self-reported (Meeting 1) + insurance preferred contractor list monitoring</t>
        </is>
      </c>
      <c r="H70" s="133" t="inlineStr">
        <is>
          <t>No</t>
        </is>
      </c>
      <c r="I70" s="131" t="inlineStr">
        <is>
          <t>No relationship with any insurance company or restoration contractor.</t>
        </is>
      </c>
      <c r="J70" s="131" t="inlineStr">
        <is>
          <t>1–2 informal insurance relationships. Not on any preferred contractor list.</t>
        </is>
      </c>
      <c r="K70" s="131" t="inlineStr">
        <is>
          <t>On preferred contractor list for 1–2 insurance providers. Some restoration contractor relationships.</t>
        </is>
      </c>
      <c r="L70" s="131" t="inlineStr">
        <is>
          <t>On preferred contractor list for 5+ insurance providers. Active restoration contractor partnerships. Insurance adjuster direct referral relationship established. Emergency restoration work arriving consistently.</t>
        </is>
      </c>
      <c r="M70" s="131" t="inlineStr">
        <is>
          <t>Insurance-referred work is the highest-value emergency category. Water damage, fire damage, and storm damage restoration jobs are large-ticket, urgent, and typically insurance-paid — no price negotiation required.</t>
        </is>
      </c>
      <c r="N70" s="131" t="inlineStr">
        <is>
          <t>Insurance adjuster relationships are among the highest-value referral sources available to a trades contractor. A single relationship with a regional insurance adjuster can generate tens of thousands of dollars in annual restoration revenue.</t>
        </is>
      </c>
      <c r="O70" s="131" t="inlineStr">
        <is>
          <t>Self-reported intake + insurance preferred contractor list research + A2P source attribution</t>
        </is>
      </c>
    </row>
    <row r="71" ht="79.5" customHeight="1" s="92">
      <c r="A71" s="134" t="n">
        <v>70</v>
      </c>
      <c r="B71" s="135" t="inlineStr">
        <is>
          <t>Building Inspector &amp; Municipal Network</t>
        </is>
      </c>
      <c r="C71" s="135" t="inlineStr">
        <is>
          <t>Referral Network</t>
        </is>
      </c>
      <c r="D71" s="135" t="n">
        <v>14</v>
      </c>
      <c r="E71" s="136" t="inlineStr">
        <is>
          <t>Growth</t>
        </is>
      </c>
      <c r="F71" s="135" t="inlineStr">
        <is>
          <t>Active Project</t>
        </is>
      </c>
      <c r="G71" s="135" t="inlineStr">
        <is>
          <t>Self-reported (Meeting 1) + municipal contractor registry monitoring</t>
        </is>
      </c>
      <c r="H71" s="137" t="inlineStr">
        <is>
          <t>No</t>
        </is>
      </c>
      <c r="I71" s="135" t="inlineStr">
        <is>
          <t>No relationship with building inspectors or municipal staff.</t>
        </is>
      </c>
      <c r="J71" s="135" t="inlineStr">
        <is>
          <t>Known to local inspection department but no formal relationship or referral history.</t>
        </is>
      </c>
      <c r="K71" s="135" t="inlineStr">
        <is>
          <t>Positive relationships with 2–3 building inspectors. Mentioned informally for permit-related work.</t>
        </is>
      </c>
      <c r="L71" s="135" t="inlineStr">
        <is>
          <t>Established relationships with building inspection department and municipal staff. Listed on municipal contractor registries. Recommended by inspectors for upgrade and remediation work. Permit process relationships generating referrals.</t>
        </is>
      </c>
      <c r="M71" s="135" t="inlineStr">
        <is>
          <t>Building inspectors encounter non-compliant systems in the course of their work. A contractor they know, trust, and recommend receives the remediation job that results. This referral source has near-zero competition.</t>
        </is>
      </c>
      <c r="N71" s="135" t="inlineStr">
        <is>
          <t>Municipal referrals carry institutional credibility that no marketing can replicate. A homeowner told by a building inspector 'you need to fix this, and I'd call [contractor]' does not shop for quotes.</t>
        </is>
      </c>
      <c r="O71" s="135" t="inlineStr">
        <is>
          <t>Self-reported intake + municipal contractor registry check + A2P source attribution</t>
        </is>
      </c>
    </row>
    <row r="72" ht="79.5" customHeight="1" s="92">
      <c r="A72" s="130" t="n">
        <v>71</v>
      </c>
      <c r="B72" s="131" t="inlineStr">
        <is>
          <t>Hardware Store &amp; Supplier Network</t>
        </is>
      </c>
      <c r="C72" s="131" t="inlineStr">
        <is>
          <t>Referral Network</t>
        </is>
      </c>
      <c r="D72" s="131" t="n">
        <v>14</v>
      </c>
      <c r="E72" s="132" t="inlineStr">
        <is>
          <t>Growth</t>
        </is>
      </c>
      <c r="F72" s="131" t="inlineStr">
        <is>
          <t>Emergency / Active Project</t>
        </is>
      </c>
      <c r="G72" s="131" t="inlineStr">
        <is>
          <t>Self-reported (Meeting 1) + supplier referral material monitoring</t>
        </is>
      </c>
      <c r="H72" s="133" t="inlineStr">
        <is>
          <t>No</t>
        </is>
      </c>
      <c r="I72" s="131" t="inlineStr">
        <is>
          <t>No relationship with any hardware store or trade supplier in the protected market.</t>
        </is>
      </c>
      <c r="J72" s="131" t="inlineStr">
        <is>
          <t>Known to staff at 1–2 hardware stores. No formal referral arrangement.</t>
        </is>
      </c>
      <c r="K72" s="131" t="inlineStr">
        <is>
          <t>Active referral relationship with 2–3 hardware stores. Business cards or materials available at counter.</t>
        </is>
      </c>
      <c r="L72" s="131" t="inlineStr">
        <is>
          <t>Formal referral partnerships with primary hardware stores and trade suppliers across the protected market. Business materials at point of sale. Staff trained to recommend. Reciprocal referral relationship maintained.</t>
        </is>
      </c>
      <c r="M72" s="131" t="inlineStr">
        <is>
          <t>Hardware stores are the first stop for many homeowners attempting DIY repairs. When the project exceeds their capability, the hardware store staff recommendation is the most trusted referral source in the trade.</t>
        </is>
      </c>
      <c r="N72" s="131" t="inlineStr">
        <is>
          <t>Hardware store referrals arrive at the exact moment the homeowner has decided they need a professional — the highest-conversion referral timing available. A contractor featured at the hardware store counter is the first call for every DIY-gone-wrong in the community.</t>
        </is>
      </c>
      <c r="O72" s="131" t="inlineStr">
        <is>
          <t>Self-reported intake + hardware store referral material monitoring + A2P source attribution</t>
        </is>
      </c>
    </row>
    <row r="73" ht="79.5" customHeight="1" s="92">
      <c r="A73" s="134" t="n">
        <v>72</v>
      </c>
      <c r="B73" s="135" t="inlineStr">
        <is>
          <t>Cross-Trade Referral Network</t>
        </is>
      </c>
      <c r="C73" s="135" t="inlineStr">
        <is>
          <t>Referral Network</t>
        </is>
      </c>
      <c r="D73" s="135" t="n">
        <v>14</v>
      </c>
      <c r="E73" s="136" t="inlineStr">
        <is>
          <t>Growth</t>
        </is>
      </c>
      <c r="F73" s="135" t="inlineStr">
        <is>
          <t>Active Project</t>
        </is>
      </c>
      <c r="G73" s="135" t="inlineStr">
        <is>
          <t>Self-reported (Meeting 1) + cross-trade relationship monitoring</t>
        </is>
      </c>
      <c r="H73" s="137" t="inlineStr">
        <is>
          <t>No</t>
        </is>
      </c>
      <c r="I73" s="135" t="inlineStr">
        <is>
          <t>No referral relationships with any complementary trade.</t>
        </is>
      </c>
      <c r="J73" s="135" t="inlineStr">
        <is>
          <t>1–2 informal cross-trade relationships. Work arrives by chance, not systematically.</t>
        </is>
      </c>
      <c r="K73" s="135" t="inlineStr">
        <is>
          <t>Active referral exchange with 2–3 complementary trades. Reciprocal relationship maintained.</t>
        </is>
      </c>
      <c r="L73" s="135" t="inlineStr">
        <is>
          <t>Reciprocal referral relationships with at least one contractor in every complementary trade — plumber refers to HVAC, electrician refers to plumber, roofer refers to gutter installer. Referral volume tracked and balanced. Cross-trade network generating consistent inquiry flow.</t>
        </is>
      </c>
      <c r="M73" s="135" t="inlineStr">
        <is>
          <t>When a plumber discovers an electrical problem, they refer to an electrician — and vice versa. A contractor embedded in a reciprocal cross-trade referral network captures work that digital search will never surface.</t>
        </is>
      </c>
      <c r="N73" s="135" t="inlineStr">
        <is>
          <t>Cross-trade referrals arrive warm, referred, and pre-qualified. The homeowner already has a trusted professional in their home. A referral from that professional is the highest-trust introduction available in the trades.</t>
        </is>
      </c>
      <c r="O73" s="135" t="inlineStr">
        <is>
          <t>Self-reported intake + cross-trade relationship validation + A2P source attribution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91" min="1" max="1"/>
    <col width="14" customWidth="1" style="91" min="2" max="4"/>
    <col width="20" customWidth="1" style="91" min="5" max="5"/>
  </cols>
  <sheetData>
    <row r="1" ht="27.75" customHeight="1" s="92">
      <c r="A1" s="138" t="inlineStr">
        <is>
          <t>Stage</t>
        </is>
      </c>
      <c r="B1" s="138" t="inlineStr">
        <is>
          <t>Signals</t>
        </is>
      </c>
      <c r="C1" s="138" t="inlineStr">
        <is>
          <t>Max Points</t>
        </is>
      </c>
      <c r="D1" s="138" t="inlineStr">
        <is>
          <t>% of 180</t>
        </is>
      </c>
      <c r="E1" s="138" t="inlineStr">
        <is>
          <t>Notes</t>
        </is>
      </c>
    </row>
    <row r="2" ht="49.5" customHeight="1" s="92">
      <c r="A2" s="139" t="inlineStr">
        <is>
          <t>Discovery</t>
        </is>
      </c>
      <c r="B2" s="140">
        <f>COUNTIFS('Signal Master'!E:E,"Discovery",'Signal Master'!H:H,"Yes")</f>
        <v/>
      </c>
      <c r="C2" s="140">
        <f>B2*3</f>
        <v/>
      </c>
      <c r="D2" s="141">
        <f>C2/180</f>
        <v/>
      </c>
      <c r="E2" s="142" t="inlineStr">
        <is>
          <t>Getting found — the foundation. 5 website signals, GBP completeness, Facebook page, Nextdoor presence, 4 directory signals, 2 seasonal/geo signals.</t>
        </is>
      </c>
    </row>
    <row r="3" ht="49.5" customHeight="1" s="92">
      <c r="A3" s="143" t="inlineStr">
        <is>
          <t>Engagement</t>
        </is>
      </c>
      <c r="B3" s="144">
        <f>COUNTIFS('Signal Master'!E:E,"Engagement",'Signal Master'!H:H,"Yes")</f>
        <v/>
      </c>
      <c r="C3" s="144">
        <f>B3*3</f>
        <v/>
      </c>
      <c r="D3" s="145">
        <f>C3/180</f>
        <v/>
      </c>
      <c r="E3" s="146" t="inlineStr">
        <is>
          <t>Engagement: 4 Website + 5 GBP + 5 Facebook + 3 Reviews &amp; Reputation signals. Corrected 2026-07-02 — this cell and Growth (E5) previously hardcoded 18/12 based on a reclassification note (Signal 26 to Growth) that was already reflected in Signal Master's Stage column, but never recomputed here. Now a live COUNTIFS against Signal Master — will not drift again.</t>
        </is>
      </c>
    </row>
    <row r="4" ht="49.5" customHeight="1" s="92">
      <c r="A4" s="147" t="inlineStr">
        <is>
          <t>Conversion</t>
        </is>
      </c>
      <c r="B4" s="148">
        <f>COUNTIFS('Signal Master'!E:E,"Conversion",'Signal Master'!H:H,"Yes")</f>
        <v/>
      </c>
      <c r="C4" s="148">
        <f>B4*3</f>
        <v/>
      </c>
      <c r="D4" s="149">
        <f>C4/180</f>
        <v/>
      </c>
      <c r="E4" s="150" t="inlineStr">
        <is>
          <t>Turning visitors into booked jobs. Pricing transparency, GBP contact features, citation/NAP/schema, seasonal campaigns, all 6 contact friction signals, video production.</t>
        </is>
      </c>
    </row>
    <row r="5" ht="49.5" customHeight="1" s="92">
      <c r="A5" s="151" t="inlineStr">
        <is>
          <t>Growth</t>
        </is>
      </c>
      <c r="B5" s="152">
        <f>COUNTIFS('Signal Master'!E:E,"Growth",'Signal Master'!H:H,"Yes")</f>
        <v/>
      </c>
      <c r="C5" s="152">
        <f>B5*3</f>
        <v/>
      </c>
      <c r="D5" s="153">
        <f>C5/180</f>
        <v/>
      </c>
      <c r="E5" s="154" t="inlineStr">
        <is>
          <t>Growth: 2 Nextdoor (incl. Signal 26, reclassified from Engagement — LOCKED May 2026) + 2 Reviews &amp; Reputation + 2 Video + 3 AI Authority + 4 Share of Voice signals. Corrected 2026-07-02 — see note on E3.</t>
        </is>
      </c>
    </row>
    <row r="6" ht="27.75" customHeight="1" s="92">
      <c r="A6" s="138" t="inlineStr">
        <is>
          <t>TOTAL (Gap Score)</t>
        </is>
      </c>
      <c r="B6" s="138">
        <f>SUM(B2:B5)</f>
        <v/>
      </c>
      <c r="C6" s="138">
        <f>SUM(C2:C5)</f>
        <v/>
      </c>
      <c r="D6" s="155">
        <f>C6/180</f>
        <v/>
      </c>
      <c r="E6" s="156" t="inlineStr">
        <is>
          <t>Signals 1–60. Max 180 points. Content Gap % = Score / 180.</t>
        </is>
      </c>
    </row>
    <row r="8" ht="15" customHeight="1" s="92">
      <c r="A8" s="157" t="inlineStr">
        <is>
          <t>Outside Gap Score</t>
        </is>
      </c>
    </row>
    <row r="9" ht="39.75" customHeight="1" s="92">
      <c r="A9" s="158" t="inlineStr">
        <is>
          <t>A2P Content Intelligence</t>
        </is>
      </c>
      <c r="B9" s="158" t="n">
        <v>6</v>
      </c>
      <c r="C9" s="158" t="n">
        <v>18</v>
      </c>
      <c r="D9" s="158" t="inlineStr">
        <is>
          <t>—</t>
        </is>
      </c>
      <c r="E9" s="159" t="inlineStr">
        <is>
          <t>Signals 61–66. Licensed clients only. Not comparable to Cohort 1. Feeds content roadmap and marketing automation.</t>
        </is>
      </c>
    </row>
    <row r="10" ht="39.75" customHeight="1" s="92">
      <c r="A10" s="160" t="inlineStr">
        <is>
          <t>Referral Network</t>
        </is>
      </c>
      <c r="B10" s="160" t="n">
        <v>6</v>
      </c>
      <c r="C10" s="160" t="n">
        <v>18</v>
      </c>
      <c r="D10" s="160" t="inlineStr">
        <is>
          <t>—</t>
        </is>
      </c>
      <c r="E10" s="161" t="inlineStr">
        <is>
          <t>Signals 67–72. Self-reported in Meeting 1. Reported separately. Not in gap score.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91" min="1" max="1"/>
    <col width="36" customWidth="1" style="91" min="2" max="2"/>
    <col width="16" customWidth="1" style="91" min="3" max="3"/>
    <col width="14" customWidth="1" style="91" min="4" max="5"/>
    <col width="18" customWidth="1" style="91" min="6" max="6"/>
    <col width="36" customWidth="1" style="91" min="7" max="7"/>
  </cols>
  <sheetData>
    <row r="1" ht="27.75" customHeight="1" s="92">
      <c r="A1" s="93" t="inlineStr">
        <is>
          <t>Cat #</t>
        </is>
      </c>
      <c r="B1" s="93" t="inlineStr">
        <is>
          <t>Category</t>
        </is>
      </c>
      <c r="C1" s="93" t="inlineStr">
        <is>
          <t>Signal #s</t>
        </is>
      </c>
      <c r="D1" s="93" t="inlineStr">
        <is>
          <t># Signals</t>
        </is>
      </c>
      <c r="E1" s="93" t="inlineStr">
        <is>
          <t>Max Pts</t>
        </is>
      </c>
      <c r="F1" s="93" t="inlineStr">
        <is>
          <t>Stage(s)</t>
        </is>
      </c>
      <c r="G1" s="93" t="inlineStr">
        <is>
          <t>Data Source Method</t>
        </is>
      </c>
    </row>
    <row r="2" ht="36" customHeight="1" s="92">
      <c r="A2" s="162" t="n">
        <v>1</v>
      </c>
      <c r="B2" s="163" t="inlineStr">
        <is>
          <t>Website</t>
        </is>
      </c>
      <c r="C2" s="164" t="inlineStr">
        <is>
          <t>1–10</t>
        </is>
      </c>
      <c r="D2" s="164" t="n">
        <v>10</v>
      </c>
      <c r="E2" s="164" t="n">
        <v>30</v>
      </c>
      <c r="F2" s="165" t="inlineStr">
        <is>
          <t>Discovery / Engagement / Conversion</t>
        </is>
      </c>
      <c r="G2" s="165" t="inlineStr">
        <is>
          <t>Direct fetch → Claude NLP</t>
        </is>
      </c>
    </row>
    <row r="3" ht="36" customHeight="1" s="92">
      <c r="A3" s="166" t="n">
        <v>2</v>
      </c>
      <c r="B3" s="167" t="inlineStr">
        <is>
          <t>Google Business Profile</t>
        </is>
      </c>
      <c r="C3" s="168" t="inlineStr">
        <is>
          <t>11–18</t>
        </is>
      </c>
      <c r="D3" s="168" t="n">
        <v>8</v>
      </c>
      <c r="E3" s="168" t="n">
        <v>24</v>
      </c>
      <c r="F3" s="169" t="inlineStr">
        <is>
          <t>Discovery / Engagement / Conversion</t>
        </is>
      </c>
      <c r="G3" s="169" t="inlineStr">
        <is>
          <t>Google Places API → formula + Claude</t>
        </is>
      </c>
    </row>
    <row r="4" ht="36" customHeight="1" s="92">
      <c r="A4" s="166" t="n">
        <v>3</v>
      </c>
      <c r="B4" s="167" t="inlineStr">
        <is>
          <t>Facebook</t>
        </is>
      </c>
      <c r="C4" s="168" t="inlineStr">
        <is>
          <t>19–24</t>
        </is>
      </c>
      <c r="D4" s="168" t="n">
        <v>6</v>
      </c>
      <c r="E4" s="168" t="n">
        <v>18</v>
      </c>
      <c r="F4" s="169" t="inlineStr">
        <is>
          <t>Discovery / Engagement</t>
        </is>
      </c>
      <c r="G4" s="169" t="inlineStr">
        <is>
          <t>Apify Facebook Scraper → Claude NLP</t>
        </is>
      </c>
    </row>
    <row r="5" ht="36" customHeight="1" s="92">
      <c r="A5" s="166" t="n">
        <v>4</v>
      </c>
      <c r="B5" s="167" t="inlineStr">
        <is>
          <t>Nextdoor</t>
        </is>
      </c>
      <c r="C5" s="168" t="inlineStr">
        <is>
          <t>25–27</t>
        </is>
      </c>
      <c r="D5" s="168" t="n">
        <v>3</v>
      </c>
      <c r="E5" s="168" t="n">
        <v>9</v>
      </c>
      <c r="F5" s="169" t="inlineStr">
        <is>
          <t>Discovery / Growth</t>
        </is>
      </c>
      <c r="G5" s="169" t="inlineStr">
        <is>
          <t>Apify Nextdoor Scraper → Claude NLP</t>
        </is>
      </c>
    </row>
    <row r="6" ht="36" customHeight="1" s="92">
      <c r="A6" s="166" t="n">
        <v>5</v>
      </c>
      <c r="B6" s="167" t="inlineStr">
        <is>
          <t>Reviews &amp; Reputation</t>
        </is>
      </c>
      <c r="C6" s="168" t="inlineStr">
        <is>
          <t>28–32</t>
        </is>
      </c>
      <c r="D6" s="168" t="n">
        <v>5</v>
      </c>
      <c r="E6" s="168" t="n">
        <v>15</v>
      </c>
      <c r="F6" s="169" t="inlineStr">
        <is>
          <t>Engagement / Growth</t>
        </is>
      </c>
      <c r="G6" s="169" t="inlineStr">
        <is>
          <t>Apify (HomeStars, Houzz, Angi) + NLP sentiment</t>
        </is>
      </c>
    </row>
    <row r="7" ht="36" customHeight="1" s="92">
      <c r="A7" s="162" t="n">
        <v>6</v>
      </c>
      <c r="B7" s="163" t="inlineStr">
        <is>
          <t>Trades Directory</t>
        </is>
      </c>
      <c r="C7" s="164" t="inlineStr">
        <is>
          <t>33–36</t>
        </is>
      </c>
      <c r="D7" s="164" t="n">
        <v>4</v>
      </c>
      <c r="E7" s="164" t="n">
        <v>12</v>
      </c>
      <c r="F7" s="165" t="inlineStr">
        <is>
          <t>Discovery</t>
        </is>
      </c>
      <c r="G7" s="165" t="inlineStr">
        <is>
          <t>Apify directory scraper + ValueSERP (LSA)</t>
        </is>
      </c>
    </row>
    <row r="8" ht="36" customHeight="1" s="92">
      <c r="A8" s="170" t="n">
        <v>7</v>
      </c>
      <c r="B8" s="171" t="inlineStr">
        <is>
          <t>Citation &amp; NAP</t>
        </is>
      </c>
      <c r="C8" s="172" t="inlineStr">
        <is>
          <t>37–39</t>
        </is>
      </c>
      <c r="D8" s="172" t="n">
        <v>3</v>
      </c>
      <c r="E8" s="172" t="n">
        <v>9</v>
      </c>
      <c r="F8" s="173" t="inlineStr">
        <is>
          <t>Conversion</t>
        </is>
      </c>
      <c r="G8" s="173" t="inlineStr">
        <is>
          <t>Directory crawl + cross-reference + website audit</t>
        </is>
      </c>
    </row>
    <row r="9" ht="36" customHeight="1" s="92">
      <c r="A9" s="162" t="n">
        <v>8</v>
      </c>
      <c r="B9" s="163" t="inlineStr">
        <is>
          <t>Seasonal &amp; Geographic</t>
        </is>
      </c>
      <c r="C9" s="164" t="inlineStr">
        <is>
          <t>40–43</t>
        </is>
      </c>
      <c r="D9" s="164" t="n">
        <v>4</v>
      </c>
      <c r="E9" s="164" t="n">
        <v>12</v>
      </c>
      <c r="F9" s="165" t="inlineStr">
        <is>
          <t>Discovery / Conversion</t>
        </is>
      </c>
      <c r="G9" s="165" t="inlineStr">
        <is>
          <t>ValueSERP + website content audit</t>
        </is>
      </c>
    </row>
    <row r="10" ht="36" customHeight="1" s="92">
      <c r="A10" s="170" t="n">
        <v>9</v>
      </c>
      <c r="B10" s="171" t="inlineStr">
        <is>
          <t>Video</t>
        </is>
      </c>
      <c r="C10" s="172" t="inlineStr">
        <is>
          <t>44–47</t>
        </is>
      </c>
      <c r="D10" s="172" t="n">
        <v>4</v>
      </c>
      <c r="E10" s="172" t="n">
        <v>12</v>
      </c>
      <c r="F10" s="173" t="inlineStr">
        <is>
          <t>Conversion / Growth</t>
        </is>
      </c>
      <c r="G10" s="173" t="inlineStr">
        <is>
          <t>YouTube Data API + Apify Facebook → Claude</t>
        </is>
      </c>
    </row>
    <row r="11" ht="36" customHeight="1" s="92">
      <c r="A11" s="174" t="n">
        <v>10</v>
      </c>
      <c r="B11" s="175" t="inlineStr">
        <is>
          <t>AI Authority</t>
        </is>
      </c>
      <c r="C11" s="176" t="inlineStr">
        <is>
          <t>48–50</t>
        </is>
      </c>
      <c r="D11" s="176" t="n">
        <v>3</v>
      </c>
      <c r="E11" s="176" t="n">
        <v>9</v>
      </c>
      <c r="F11" s="177" t="inlineStr">
        <is>
          <t>Growth</t>
        </is>
      </c>
      <c r="G11" s="177" t="inlineStr">
        <is>
          <t>Live API queries — ChatGPT, Gemini, Perplexity</t>
        </is>
      </c>
    </row>
    <row r="12" ht="36" customHeight="1" s="92">
      <c r="A12" s="174" t="n">
        <v>11</v>
      </c>
      <c r="B12" s="175" t="inlineStr">
        <is>
          <t>Share of Voice</t>
        </is>
      </c>
      <c r="C12" s="176" t="inlineStr">
        <is>
          <t>51–54</t>
        </is>
      </c>
      <c r="D12" s="176" t="n">
        <v>4</v>
      </c>
      <c r="E12" s="176" t="n">
        <v>12</v>
      </c>
      <c r="F12" s="177" t="inlineStr">
        <is>
          <t>Growth</t>
        </is>
      </c>
      <c r="G12" s="177" t="inlineStr">
        <is>
          <t>ValueSERP + Apify social monitoring</t>
        </is>
      </c>
    </row>
    <row r="13" ht="36" customHeight="1" s="92">
      <c r="A13" s="170" t="n">
        <v>12</v>
      </c>
      <c r="B13" s="171" t="inlineStr">
        <is>
          <t>Contact Friction</t>
        </is>
      </c>
      <c r="C13" s="172" t="inlineStr">
        <is>
          <t>55–60</t>
        </is>
      </c>
      <c r="D13" s="172" t="n">
        <v>6</v>
      </c>
      <c r="E13" s="172" t="n">
        <v>18</v>
      </c>
      <c r="F13" s="173" t="inlineStr">
        <is>
          <t>Conversion</t>
        </is>
      </c>
      <c r="G13" s="173" t="inlineStr">
        <is>
          <t>Direct fetch + PageSpeed Insights → Claude UX audit</t>
        </is>
      </c>
    </row>
    <row r="14" ht="36" customHeight="1" s="92">
      <c r="A14" s="178" t="n">
        <v>13</v>
      </c>
      <c r="B14" s="179" t="inlineStr">
        <is>
          <t>A2P Content Intelligence</t>
        </is>
      </c>
      <c r="C14" s="180" t="inlineStr">
        <is>
          <t>61–66</t>
        </is>
      </c>
      <c r="D14" s="180" t="n">
        <v>6</v>
      </c>
      <c r="E14" s="180" t="n">
        <v>18</v>
      </c>
      <c r="F14" s="181" t="inlineStr">
        <is>
          <t>Engagement / Conversion / Growth</t>
        </is>
      </c>
      <c r="G14" s="181" t="inlineStr">
        <is>
          <t>A2P platform live feed — licensed clients only</t>
        </is>
      </c>
    </row>
    <row r="15" ht="36" customHeight="1" s="92">
      <c r="A15" s="178" t="n">
        <v>14</v>
      </c>
      <c r="B15" s="179" t="inlineStr">
        <is>
          <t>Referral Network</t>
        </is>
      </c>
      <c r="C15" s="180" t="inlineStr">
        <is>
          <t>67–72</t>
        </is>
      </c>
      <c r="D15" s="180" t="n">
        <v>6</v>
      </c>
      <c r="E15" s="180" t="n">
        <v>18</v>
      </c>
      <c r="F15" s="181" t="inlineStr">
        <is>
          <t>Growth</t>
        </is>
      </c>
      <c r="G15" s="181" t="inlineStr">
        <is>
          <t>Self-reported Meeting 1 + community research</t>
        </is>
      </c>
    </row>
    <row r="16" ht="24" customHeight="1" s="92">
      <c r="A16" s="93" t="n"/>
      <c r="B16" s="93" t="inlineStr">
        <is>
          <t>TOTAL</t>
        </is>
      </c>
      <c r="C16" s="93" t="n"/>
      <c r="D16" s="93">
        <f>SUM(D2:D15)</f>
        <v/>
      </c>
      <c r="E16" s="93">
        <f>SUM(E2:E15)</f>
        <v/>
      </c>
      <c r="F16" s="93" t="n"/>
      <c r="G16" s="9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91" min="1" max="1"/>
    <col width="20" customWidth="1" style="91" min="2" max="2"/>
    <col width="40" customWidth="1" style="91" min="3" max="3"/>
    <col width="36" customWidth="1" style="91" min="4" max="4"/>
    <col width="24" customWidth="1" style="91" min="5" max="5"/>
  </cols>
  <sheetData>
    <row r="1" ht="27.75" customHeight="1" s="92">
      <c r="A1" s="93" t="inlineStr">
        <is>
          <t>Collection Method</t>
        </is>
      </c>
      <c r="B1" s="93" t="inlineStr">
        <is>
          <t>Signals Covered</t>
        </is>
      </c>
      <c r="C1" s="93" t="inlineStr">
        <is>
          <t>What It Returns</t>
        </is>
      </c>
      <c r="D1" s="93" t="inlineStr">
        <is>
          <t>Limitations</t>
        </is>
      </c>
      <c r="E1" s="93" t="inlineStr">
        <is>
          <t>Priority / Status</t>
        </is>
      </c>
    </row>
    <row r="2" ht="69.75" customHeight="1" s="92">
      <c r="A2" s="182" t="inlineStr">
        <is>
          <t>Direct fetch → Claude NLP</t>
        </is>
      </c>
      <c r="B2" s="95" t="inlineStr">
        <is>
          <t>1–10, 55–60</t>
        </is>
      </c>
      <c r="C2" s="95" t="inlineStr">
        <is>
          <t>Full page text stripped to 8,000 chars per page. Claude scores each signal 0–3 with a one-sentence rationale. All pages fetched in parallel via Promise.all.</t>
        </is>
      </c>
      <c r="D2" s="95" t="inlineStr">
        <is>
          <t>Social platforms (Facebook, Nextdoor) actively block direct fetching. Use Apify for these.</t>
        </is>
      </c>
      <c r="E2" s="95" t="inlineStr">
        <is>
          <t>Built — core pipeline</t>
        </is>
      </c>
    </row>
    <row r="3" ht="69.75" customHeight="1" s="92">
      <c r="A3" s="183" t="inlineStr">
        <is>
          <t>Google Places API</t>
        </is>
      </c>
      <c r="B3" s="107" t="inlineStr">
        <is>
          <t>11–18</t>
        </is>
      </c>
      <c r="C3" s="107" t="inlineStr">
        <is>
          <t>Structured GBP data: rating, review count, photo count, hours, services list, Q&amp;A, messaging status, booking button, categories, description.</t>
        </is>
      </c>
      <c r="D3" s="107" t="inlineStr">
        <is>
          <t>GBP Posts count requires Google My Business API OAuth — separate user-consent flow. Wire after core pipeline is stable.</t>
        </is>
      </c>
      <c r="E3" s="107" t="inlineStr">
        <is>
          <t>Built — live in ClearSky Layer 1</t>
        </is>
      </c>
    </row>
    <row r="4" ht="69.75" customHeight="1" s="92">
      <c r="A4" s="184" t="inlineStr">
        <is>
          <t>Apify Facebook Scraper</t>
        </is>
      </c>
      <c r="B4" s="127" t="inlineStr">
        <is>
          <t>19–24</t>
        </is>
      </c>
      <c r="C4" s="127" t="inlineStr">
        <is>
          <t>Page completeness, post feed (last 30 posts), review tab, events, video/reels presence. Returns structured JSON.</t>
        </is>
      </c>
      <c r="D4" s="127" t="inlineStr">
        <is>
          <t>Requires Apify account and Facebook Page Scraper actor. Cost: ~$0.50–2.00 per full page audit.</t>
        </is>
      </c>
      <c r="E4" s="127" t="inlineStr">
        <is>
          <t>Priority 1 — not yet built</t>
        </is>
      </c>
    </row>
    <row r="5" ht="69.75" customHeight="1" s="92">
      <c r="A5" s="185" t="inlineStr">
        <is>
          <t>Apify HomeStars Scraper</t>
        </is>
      </c>
      <c r="B5" s="119" t="inlineStr">
        <is>
          <t>28</t>
        </is>
      </c>
      <c r="C5" s="119" t="inlineStr">
        <is>
          <t>Star Score, review count, recency, response rate, project portfolio, Best of HomeStars status.</t>
        </is>
      </c>
      <c r="D5" s="119" t="inlineStr">
        <is>
          <t>HomeStars Canada-specific. Apify actor available. Validate response schema before production use.</t>
        </is>
      </c>
      <c r="E5" s="119" t="inlineStr">
        <is>
          <t>Priority 2 — not yet built</t>
        </is>
      </c>
    </row>
    <row r="6" ht="69.75" customHeight="1" s="92">
      <c r="A6" s="186" t="inlineStr">
        <is>
          <t>Apify Houzz / Angi Scrapers</t>
        </is>
      </c>
      <c r="B6" s="131" t="inlineStr">
        <is>
          <t>29, 30, 33</t>
        </is>
      </c>
      <c r="C6" s="131" t="inlineStr">
        <is>
          <t>Profile completeness, review count, certification status, project portfolio.</t>
        </is>
      </c>
      <c r="D6" s="131" t="inlineStr">
        <is>
          <t>Separate actor per platform. Validate each schema independently.</t>
        </is>
      </c>
      <c r="E6" s="131" t="inlineStr">
        <is>
          <t>Priority 3 — not yet built</t>
        </is>
      </c>
    </row>
    <row r="7" ht="69.75" customHeight="1" s="92">
      <c r="A7" s="182" t="inlineStr">
        <is>
          <t>Apify Nextdoor Scraper</t>
        </is>
      </c>
      <c r="B7" s="95" t="inlineStr">
        <is>
          <t>25–27</t>
        </is>
      </c>
      <c r="C7" s="95" t="inlineStr">
        <is>
          <t>Business page presence, recommendation count and text, organic mention monitoring across neighbourhood posts.</t>
        </is>
      </c>
      <c r="D7" s="95" t="inlineStr">
        <is>
          <t>Nextdoor is the hardest platform to scrape reliably. Actor availability and data quality must be validated before production use.</t>
        </is>
      </c>
      <c r="E7" s="95" t="inlineStr">
        <is>
          <t>Priority 4 — not yet built</t>
        </is>
      </c>
    </row>
    <row r="8" ht="69.75" customHeight="1" s="92">
      <c r="A8" s="183" t="inlineStr">
        <is>
          <t>YouTube Data API v3</t>
        </is>
      </c>
      <c r="B8" s="107" t="inlineStr">
        <is>
          <t>44–47</t>
        </is>
      </c>
      <c r="C8" s="107" t="inlineStr">
        <is>
          <t>Channel existence, video count, subscriber count, view counts, upload frequency, titles, descriptions. Free quota: 10,000 units/day.</t>
        </is>
      </c>
      <c r="D8" s="107" t="inlineStr">
        <is>
          <t>Transcript access requires separate API call. Video quality assessment requires Claude NLP on titles/descriptions.</t>
        </is>
      </c>
      <c r="E8" s="107" t="inlineStr">
        <is>
          <t>Priority 2 — not yet built</t>
        </is>
      </c>
    </row>
    <row r="9" ht="69.75" customHeight="1" s="92">
      <c r="A9" s="184" t="inlineStr">
        <is>
          <t>ValueSERP API</t>
        </is>
      </c>
      <c r="B9" s="127" t="inlineStr">
        <is>
          <t>40, 43, 51–54</t>
        </is>
      </c>
      <c r="C9" s="127" t="inlineStr">
        <is>
          <t>Map Pack position for trade keywords × communities. Organic rank. Competitor presence. LSA detection. Ad presence.</t>
        </is>
      </c>
      <c r="D9" s="127" t="inlineStr">
        <is>
          <t>~$0.001–0.003 per call. Currently manual for all affected signals.</t>
        </is>
      </c>
      <c r="E9" s="127" t="inlineStr">
        <is>
          <t>Priority 1 — not yet built</t>
        </is>
      </c>
    </row>
    <row r="10" ht="69.75" customHeight="1" s="92">
      <c r="A10" s="185" t="inlineStr">
        <is>
          <t>Live AI Platform Queries</t>
        </is>
      </c>
      <c r="B10" s="119" t="inlineStr">
        <is>
          <t>48–50</t>
        </is>
      </c>
      <c r="C10" s="119" t="inlineStr">
        <is>
          <t>Structured queries to ChatGPT API, Gemini API, Perplexity API. Responses parsed for contractor name mentions, position, and context.</t>
        </is>
      </c>
      <c r="D10" s="119" t="inlineStr">
        <is>
          <t>Per-query API cost. ~$0.05–0.15 per full AI authority audit (6–9 queries across 3 platforms). Currently manual.</t>
        </is>
      </c>
      <c r="E10" s="119" t="inlineStr">
        <is>
          <t>Priority 3 — not yet built</t>
        </is>
      </c>
    </row>
    <row r="11" ht="69.75" customHeight="1" s="92">
      <c r="A11" s="186" t="inlineStr">
        <is>
          <t>Apify Directory Scrapers</t>
        </is>
      </c>
      <c r="B11" s="131" t="inlineStr">
        <is>
          <t>33–36, 37–39</t>
        </is>
      </c>
      <c r="C11" s="131" t="inlineStr">
        <is>
          <t>BBB accreditation, trade association listing, citation volume across major directories, NAP consistency check.</t>
        </is>
      </c>
      <c r="D11" s="131" t="inlineStr">
        <is>
          <t>Multiple actors required — one per directory. NAP cross-reference logic requires custom aggregation layer.</t>
        </is>
      </c>
      <c r="E11" s="131" t="inlineStr">
        <is>
          <t>Priority 3 — not yet built</t>
        </is>
      </c>
    </row>
    <row r="12" ht="69.75" customHeight="1" s="92">
      <c r="A12" s="182" t="inlineStr">
        <is>
          <t>PageSpeed Insights API</t>
        </is>
      </c>
      <c r="B12" s="95" t="inlineStr">
        <is>
          <t>60</t>
        </is>
      </c>
      <c r="C12" s="95" t="inlineStr">
        <is>
          <t>Mobile performance score, Core Web Vitals (LCP, CLS, FID), load time. Free API — no key required up to 25 calls/day.</t>
        </is>
      </c>
      <c r="D12" s="95" t="inlineStr">
        <is>
          <t>Already live in ClearSky Layer 3. Connect output to Signal 60 scoring.</t>
        </is>
      </c>
      <c r="E12" s="95" t="inlineStr">
        <is>
          <t>Built — connect to Signal 60</t>
        </is>
      </c>
    </row>
    <row r="13" ht="69.75" customHeight="1" s="92">
      <c r="A13" s="183" t="inlineStr">
        <is>
          <t>Self-reported + Meeting 1</t>
        </is>
      </c>
      <c r="B13" s="107" t="inlineStr">
        <is>
          <t>67–72</t>
        </is>
      </c>
      <c r="C13" s="107" t="inlineStr">
        <is>
          <t>Contractor self-reports referral relationships across 6 categories. Team validates via realtor websites, insurance preferred lists, association directories.</t>
        </is>
      </c>
      <c r="D13" s="107" t="inlineStr">
        <is>
          <t>Cannot be automated. By design — referral relationships are relational. A2P call attribution will validate over time.</t>
        </is>
      </c>
      <c r="E13" s="107" t="inlineStr">
        <is>
          <t>Permanent manual process</t>
        </is>
      </c>
    </row>
    <row r="14" ht="69.75" customHeight="1" s="92">
      <c r="A14" s="184" t="inlineStr">
        <is>
          <t>A2P Platform Live Feed</t>
        </is>
      </c>
      <c r="B14" s="127" t="inlineStr">
        <is>
          <t>61–66</t>
        </is>
      </c>
      <c r="C14" s="127" t="inlineStr">
        <is>
          <t>Live inquiry volume, channel breakdown, anonymous visit behaviour, conversion rate, intent distribution, call attribution.</t>
        </is>
      </c>
      <c r="D14" s="127" t="inlineStr">
        <is>
          <t>Licensed clients only. Scores as -1 (pending) until A2P onboarded. Gets richer over 90+ days.</t>
        </is>
      </c>
      <c r="E14" s="127" t="inlineStr">
        <is>
          <t>Automatic on A2P onboarding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2026-05-05T18:32:50Z</dcterms:created>
  <dcterms:modified xsi:type="dcterms:W3CDTF">2026-07-03T01:13:22Z</dcterms:modified>
  <cp:revision>0</cp:revision>
</cp:coreProperties>
</file>